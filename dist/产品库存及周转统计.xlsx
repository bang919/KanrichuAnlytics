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3040"/>
  </bookViews>
  <sheets>
    <sheet name="产品库存" sheetId="1" r:id="rId1"/>
  </sheets>
  <definedNames>
    <definedName name="_xlnm._FilterDatabase" localSheetId="0" hidden="1">产品库存!$A$1:$AH$62</definedName>
  </definedNames>
  <calcPr calcId="144525" concurrentCalc="0"/>
</workbook>
</file>

<file path=xl/sharedStrings.xml><?xml version="1.0" encoding="utf-8"?>
<sst xmlns="http://schemas.openxmlformats.org/spreadsheetml/2006/main" count="286" uniqueCount="276">
  <si>
    <t>名称</t>
  </si>
  <si>
    <t>ASIN</t>
  </si>
  <si>
    <t>FBA
总库存+入库处理中-不可售总数-预留订单
（来自赛狐）</t>
  </si>
  <si>
    <t>工厂库存</t>
  </si>
  <si>
    <t>总库存</t>
  </si>
  <si>
    <t>目前7天
平均</t>
  </si>
  <si>
    <t>30天
每天平均</t>
  </si>
  <si>
    <t>上次
最终计算
每天平均</t>
  </si>
  <si>
    <t>最终计算每天平均</t>
  </si>
  <si>
    <t>FBA周转</t>
  </si>
  <si>
    <t>总周转</t>
  </si>
  <si>
    <t>采购成本</t>
  </si>
  <si>
    <t>到库成本</t>
  </si>
  <si>
    <t>单个成本</t>
  </si>
  <si>
    <t>FBA库存总成本</t>
  </si>
  <si>
    <t>工厂总成本</t>
  </si>
  <si>
    <t>装箱数量</t>
  </si>
  <si>
    <t>90天
补货</t>
  </si>
  <si>
    <t>主推款
120天
补货</t>
  </si>
  <si>
    <t>特推款
135天
补货</t>
  </si>
  <si>
    <t>发货数
(FBA周转70天）</t>
  </si>
  <si>
    <t>发货数
(FBA周转100天）</t>
  </si>
  <si>
    <t>发货数
(FBA周转115天）</t>
  </si>
  <si>
    <t>SKU</t>
  </si>
  <si>
    <t>FNSKU</t>
  </si>
  <si>
    <t>箱子长</t>
  </si>
  <si>
    <t>箱子宽</t>
  </si>
  <si>
    <t>箱子高</t>
  </si>
  <si>
    <t>【小】灰色(2p)</t>
  </si>
  <si>
    <t>B0B37GZ7MM</t>
  </si>
  <si>
    <t>WHB_S_GRAY</t>
  </si>
  <si>
    <t>X0039W1OMP</t>
  </si>
  <si>
    <t>【大】纯灰色(2p)</t>
  </si>
  <si>
    <t>B0B5MS2LJ9</t>
  </si>
  <si>
    <t>hangingbag_large_gray</t>
  </si>
  <si>
    <t>X003AZEMED</t>
  </si>
  <si>
    <t>【中】纯灰色(2p)</t>
  </si>
  <si>
    <t>B0B6SHZ4CV</t>
  </si>
  <si>
    <t>WallHangingBagMiddleGray</t>
  </si>
  <si>
    <t>X003BFWYZV</t>
  </si>
  <si>
    <t>【大】三袋纯灰色(2p)</t>
  </si>
  <si>
    <t>B0C3BHF49B</t>
  </si>
  <si>
    <t>hangingbag_large_3pocket_gray</t>
  </si>
  <si>
    <t>X003SSFBRJ</t>
  </si>
  <si>
    <t>床边三袋（灰）2p</t>
  </si>
  <si>
    <t>B0CMPF28T2</t>
  </si>
  <si>
    <t>BedSideCaddy-Gray-2pcs</t>
  </si>
  <si>
    <t>X00412DLYL</t>
  </si>
  <si>
    <t>【大】纯灰色(3p)</t>
  </si>
  <si>
    <t>B0B6RV2HD9</t>
  </si>
  <si>
    <t>hangingbag_large_gray_3</t>
  </si>
  <si>
    <t>X003BFKZ7P</t>
  </si>
  <si>
    <t>【中】纯灰色(3p)</t>
  </si>
  <si>
    <t>B0B75LSCFR</t>
  </si>
  <si>
    <t>WallHangingBagMiddleGray_3P</t>
  </si>
  <si>
    <t>X003BLVG6N</t>
  </si>
  <si>
    <t>【小】灰色(3p)</t>
  </si>
  <si>
    <t>B0B75M5VCN</t>
  </si>
  <si>
    <t>WallHangingBagSmallGray_3P</t>
  </si>
  <si>
    <t>X003BLVHRB</t>
  </si>
  <si>
    <t>床边双钩（灰）2p</t>
  </si>
  <si>
    <t>B0BHNVRLBP</t>
  </si>
  <si>
    <t>BedSide-Storage-Bag-Gray-2</t>
  </si>
  <si>
    <t>X003FBSFR7</t>
  </si>
  <si>
    <t>【大】三袋纯灰色(3p)</t>
  </si>
  <si>
    <t>B0CDVH9YS6</t>
  </si>
  <si>
    <t>hangingbag_large_3pocket_gray_3pcs</t>
  </si>
  <si>
    <t>X003X5EO1B</t>
  </si>
  <si>
    <t>床边双钩（灰）3p</t>
  </si>
  <si>
    <t>B0CDVHSF26</t>
  </si>
  <si>
    <t>BedSide-Storage-Bag-Gray-3</t>
  </si>
  <si>
    <t>X003X5EQGT</t>
  </si>
  <si>
    <t>【中】卡其色(3p)</t>
  </si>
  <si>
    <t>B0CMPCDX16</t>
  </si>
  <si>
    <t>WallHangingBagMiddlekhaki_3P</t>
  </si>
  <si>
    <t>X00412G5MV</t>
  </si>
  <si>
    <t>床边三袋（灰）3p</t>
  </si>
  <si>
    <t>B0CMPFJ3JW</t>
  </si>
  <si>
    <t>BedSideCaddy-Gray-3pcs</t>
  </si>
  <si>
    <t>X00412PK77</t>
  </si>
  <si>
    <t>【大】三袋浅卡其(2p)</t>
  </si>
  <si>
    <t>B0DFZ1FDGD</t>
  </si>
  <si>
    <t>hangingbag_new_3pocket_lightkhaki_2pcs</t>
  </si>
  <si>
    <t>X004DSWVLH</t>
  </si>
  <si>
    <t>【大】蓝色三角(2p)</t>
  </si>
  <si>
    <t>B09B2GDLP9</t>
  </si>
  <si>
    <t>200414_HS_001_triangle_more</t>
  </si>
  <si>
    <t>X002YQG3O1</t>
  </si>
  <si>
    <t>【小】白色(2p)</t>
  </si>
  <si>
    <t>B09V3BLK32</t>
  </si>
  <si>
    <t>0R-9E29-6C0M</t>
  </si>
  <si>
    <t>X0036M3JXP</t>
  </si>
  <si>
    <t>【大】蓝色三角(3p)</t>
  </si>
  <si>
    <t>B09XJF3D54</t>
  </si>
  <si>
    <t>0K-74SS-L9YG</t>
  </si>
  <si>
    <t>X0037S1FWF</t>
  </si>
  <si>
    <t>【大】纯蓝色(2p)</t>
  </si>
  <si>
    <t>B0B5M6RW5W</t>
  </si>
  <si>
    <t>hangingbag_large_blue</t>
  </si>
  <si>
    <t>X003AZEM25</t>
  </si>
  <si>
    <t>【大】纯蓝色(3p)</t>
  </si>
  <si>
    <t>B0B6RPZ58N</t>
  </si>
  <si>
    <t>hangingbag_large_blue_3</t>
  </si>
  <si>
    <t>X003BFMLZ9</t>
  </si>
  <si>
    <t>【中】纯蓝色(2p)</t>
  </si>
  <si>
    <t>B0B6SJ51PR</t>
  </si>
  <si>
    <t>WallHangingBagMiddleBlue</t>
  </si>
  <si>
    <t>X003BG5BUP</t>
  </si>
  <si>
    <t>【小】白色(3p)</t>
  </si>
  <si>
    <t>B0B75PK4YD</t>
  </si>
  <si>
    <t>WallHangingBagSmallWhite_3P</t>
  </si>
  <si>
    <t>X003BLW0G3</t>
  </si>
  <si>
    <t>【大】彩色(2p)</t>
  </si>
  <si>
    <t>B0C3BKWKJN</t>
  </si>
  <si>
    <t>hangingbag_large_colors</t>
  </si>
  <si>
    <t>X003SSQ0PL</t>
  </si>
  <si>
    <t>【大】三袋黄色(2p)</t>
  </si>
  <si>
    <t>B0CB92HZT3</t>
  </si>
  <si>
    <t>hangingbag_large_3pocket_Yellow</t>
  </si>
  <si>
    <t>X003VXHLVZ</t>
  </si>
  <si>
    <t>【小】蓝色三角(2p)</t>
  </si>
  <si>
    <t>B0CB93DK53</t>
  </si>
  <si>
    <t>WallHangingBagSmallTriangle_2P</t>
  </si>
  <si>
    <t>X003VUCAAZ</t>
  </si>
  <si>
    <t>【中】卡其色(2p)</t>
  </si>
  <si>
    <t>B0CB968B5B</t>
  </si>
  <si>
    <t>WallHangingBagMiddlekhaki_2P</t>
  </si>
  <si>
    <t>X003VU7W2B</t>
  </si>
  <si>
    <t>【大】三袋灰条纹(2p)</t>
  </si>
  <si>
    <t>B0CBH1TD2Y</t>
  </si>
  <si>
    <t>hangingbag_large_3pocket_Stripe</t>
  </si>
  <si>
    <t>X003VXHM0F</t>
  </si>
  <si>
    <t>【大】三袋卡其色(3p)</t>
  </si>
  <si>
    <t>B0CMPCK27N</t>
  </si>
  <si>
    <t>hangingbag_large_3pocket_khaki_3pcs</t>
  </si>
  <si>
    <t>X00412L5FD</t>
  </si>
  <si>
    <t>【大】三袋卡其色(2p)</t>
  </si>
  <si>
    <t>B0CMPF52LH</t>
  </si>
  <si>
    <t>hangingbag_large_3pocket_khaki</t>
  </si>
  <si>
    <t>X00412HFX9</t>
  </si>
  <si>
    <t>床边三袋（卡其）2p</t>
  </si>
  <si>
    <t>B0CN4KQC9F</t>
  </si>
  <si>
    <t>BedSideCaddy-Khaki-2pcs-new</t>
  </si>
  <si>
    <t>X0041BD5J3</t>
  </si>
  <si>
    <t>收纳小篮子</t>
  </si>
  <si>
    <t>B0D6WXZGQZ</t>
  </si>
  <si>
    <t>24</t>
  </si>
  <si>
    <t>6</t>
  </si>
  <si>
    <t>Small Basket With Pocket</t>
  </si>
  <si>
    <t>X004A01RVX</t>
  </si>
  <si>
    <t>【大】三袋粉色(2p)</t>
  </si>
  <si>
    <t>B0DFZ3YH55</t>
  </si>
  <si>
    <t>hangingbag_new_3pocket_pink_2pcs</t>
  </si>
  <si>
    <t>X004DSSRNN</t>
  </si>
  <si>
    <t>【大】白色(2p)</t>
  </si>
  <si>
    <t>B0DFZT6PNG</t>
  </si>
  <si>
    <t>hangingbag_large_white_2p</t>
  </si>
  <si>
    <t>X004DU0VIF</t>
  </si>
  <si>
    <t>床边双大袋（灰）2p</t>
  </si>
  <si>
    <t>B0DG36ZXPG</t>
  </si>
  <si>
    <t>BedSideCaddy-2pockets-Grey2pcs</t>
  </si>
  <si>
    <t>X004DUD26X</t>
  </si>
  <si>
    <t>床边双大袋（灰）1p</t>
  </si>
  <si>
    <t>BOFHHY887F</t>
  </si>
  <si>
    <t>14</t>
  </si>
  <si>
    <t>5</t>
  </si>
  <si>
    <t>BedSideCaddy-2pockets-Grey1pcs-New</t>
  </si>
  <si>
    <t>X004RETHGT</t>
  </si>
  <si>
    <t>【大】深卡其(2p)</t>
  </si>
  <si>
    <t>B0DGF9YKDX</t>
  </si>
  <si>
    <t>hangingbag_large_khaki_2p</t>
  </si>
  <si>
    <t>X004DZC1GP</t>
  </si>
  <si>
    <t>【大】三袋灰色格子(2p)</t>
  </si>
  <si>
    <t>B0DGFBF3TV</t>
  </si>
  <si>
    <t>hangingbag_new_3pocket_greygrid2pcs</t>
  </si>
  <si>
    <t>X004DZ7GF1</t>
  </si>
  <si>
    <t>【大】三袋黑色(2p)</t>
  </si>
  <si>
    <t>B0DGFBQ989</t>
  </si>
  <si>
    <t>hangingbag_3pocket_black2p</t>
  </si>
  <si>
    <t>X004DZ8C63</t>
  </si>
  <si>
    <t>抽屉收纳盒9p</t>
  </si>
  <si>
    <t>B0DPTSRCQB</t>
  </si>
  <si>
    <t>22</t>
  </si>
  <si>
    <t>8.8</t>
  </si>
  <si>
    <t>Drawer-Organizers-9set-261</t>
  </si>
  <si>
    <t>X004B7RF0R</t>
  </si>
  <si>
    <t>抽屉收纳盒10p</t>
  </si>
  <si>
    <t>B0D8YRR2GS</t>
  </si>
  <si>
    <t>Drawer-Organizers-10set-46</t>
  </si>
  <si>
    <t>X004B7RHEL</t>
  </si>
  <si>
    <t>床边三袋（白色）2p</t>
  </si>
  <si>
    <t>B0F44CBC9X</t>
  </si>
  <si>
    <t>BedSideCaddy-White-2pcs</t>
  </si>
  <si>
    <t>X004N2F77X</t>
  </si>
  <si>
    <t>床边三袋（粉红）2p</t>
  </si>
  <si>
    <t>B0F44C2666</t>
  </si>
  <si>
    <t>BedSideCaddy-Pink-2pcs</t>
  </si>
  <si>
    <t>X004N1VIO5</t>
  </si>
  <si>
    <t>床边三袋（灰）1p</t>
  </si>
  <si>
    <t>B0F44F7QLY</t>
  </si>
  <si>
    <t>BedSideCaddy-Gray-1pcs</t>
  </si>
  <si>
    <t>X004N1VGWJ</t>
  </si>
  <si>
    <t>【小】灰色(1p)</t>
  </si>
  <si>
    <t>B0F44FCTPC</t>
  </si>
  <si>
    <t>WallHangingBagSmallGray_1p</t>
  </si>
  <si>
    <t>X004N2F68N</t>
  </si>
  <si>
    <t>【小】灰色(4p)</t>
  </si>
  <si>
    <t>B0FHHZ48XH</t>
  </si>
  <si>
    <t>WallHangingBagSmallGray_4P</t>
  </si>
  <si>
    <t>X004RFE187</t>
  </si>
  <si>
    <t>【小】粉色(2p)</t>
  </si>
  <si>
    <t>B0FGYGWY76</t>
  </si>
  <si>
    <t>WallHangingBagSmallPink_2p</t>
  </si>
  <si>
    <t>X004R39E5T</t>
  </si>
  <si>
    <t>【小】黑色(2p)</t>
  </si>
  <si>
    <t>B0FGYHX5PS</t>
  </si>
  <si>
    <t>WallHangingBagSmallBlack_2p</t>
  </si>
  <si>
    <t>X004R34BAR</t>
  </si>
  <si>
    <t>【小】深卡其(2p)</t>
  </si>
  <si>
    <t>B0FGYGCCTX</t>
  </si>
  <si>
    <t>WallHangingBagSmallkhaki_2p</t>
  </si>
  <si>
    <t>X004R3QFS3</t>
  </si>
  <si>
    <t>【大】黑色格子(2p)</t>
  </si>
  <si>
    <t>B09MJG26BX</t>
  </si>
  <si>
    <t>F6-FGWG-65C8</t>
  </si>
  <si>
    <t>X0037SDP3H</t>
  </si>
  <si>
    <t>【大】白色三角(2p)</t>
  </si>
  <si>
    <t>B0B536VNTZ</t>
  </si>
  <si>
    <t>hanging_storage_bag_tent_2p</t>
  </si>
  <si>
    <t>X003ANHLEN</t>
  </si>
  <si>
    <t>【大】床边纯灰色(1p)</t>
  </si>
  <si>
    <t>B0FHHYFYZP</t>
  </si>
  <si>
    <t>BedSide-Storage-Bag-Gray-1</t>
  </si>
  <si>
    <t>X004RF6SC9</t>
  </si>
  <si>
    <t>【大】三袋白色(2p)</t>
  </si>
  <si>
    <t>hangingbag_new_3pocket_white_2pcs</t>
  </si>
  <si>
    <t>X004U0KWVT</t>
  </si>
  <si>
    <t>【大】三袋浅灰(2p)</t>
  </si>
  <si>
    <t>B0FQKG9KLP</t>
  </si>
  <si>
    <t>hangingbag_new_3pocket_lightgray2pcs</t>
  </si>
  <si>
    <t>X004U0QH59</t>
  </si>
  <si>
    <t>【大】黑格子(2p)</t>
  </si>
  <si>
    <t>F6-FGWG-6SC8</t>
  </si>
  <si>
    <t>X00334LMMB</t>
  </si>
  <si>
    <t>新床边双钩（灰）1p</t>
  </si>
  <si>
    <t>B0GS6WPD9F</t>
  </si>
  <si>
    <t>bedsidecaddy_2bag_gray_1pcs</t>
  </si>
  <si>
    <t>X005163XD5</t>
  </si>
  <si>
    <t>新床边双钩（灰）2p</t>
  </si>
  <si>
    <t>B0GS6Y7LDG</t>
  </si>
  <si>
    <t>bedsidecaddy_2bag_gray_2pcs</t>
  </si>
  <si>
    <t>X00515YR59</t>
  </si>
  <si>
    <t>新床边双钩（粉）1p</t>
  </si>
  <si>
    <t>B0GS71NZ7Q</t>
  </si>
  <si>
    <t>bedsidecaddy_2bag_pink_1pcs</t>
  </si>
  <si>
    <t>X005165LUD</t>
  </si>
  <si>
    <t>新床边双钩（粉）2p</t>
  </si>
  <si>
    <t>B0GS6YFWT7</t>
  </si>
  <si>
    <t>bedsidecaddy_2bag_pink_2pc</t>
  </si>
  <si>
    <t>X005160JTB</t>
  </si>
  <si>
    <t>新床边双钩（白）1p</t>
  </si>
  <si>
    <t>B0GS6WZJJG</t>
  </si>
  <si>
    <t>bedsidecaddy_2bag_white_1pcs</t>
  </si>
  <si>
    <t>X005160HRZ</t>
  </si>
  <si>
    <t>新床边双钩（白）2p</t>
  </si>
  <si>
    <t>B0GS76LHWM</t>
  </si>
  <si>
    <t>bedsidecaddy_2bag_white_2pc</t>
  </si>
  <si>
    <t>X005166XCN</t>
  </si>
  <si>
    <t>【小】灰色B款(2p)</t>
  </si>
  <si>
    <t>B0GWWS56G5</t>
  </si>
  <si>
    <t>WallHangingBagSmallGray_2P_B</t>
  </si>
  <si>
    <t>X0052N791J</t>
  </si>
  <si>
    <t>【小】白色B款(2p)</t>
  </si>
  <si>
    <t>B0GWWP5MT7</t>
  </si>
  <si>
    <t>WallHangingBagSmallWhite_2P_B</t>
  </si>
  <si>
    <t>X0052N76DZ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</si>
</sst>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_ "/>
  </numFmts>
  <fonts count="23"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9C9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EE4FF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DFF8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13" borderId="3">
      <alignment vertical="center"/>
    </xf>
    <xf numFmtId="0" fontId="1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4" borderId="6">
      <alignment vertical="center"/>
    </xf>
    <xf numFmtId="0" fontId="13" fillId="15" borderId="7">
      <alignment vertical="center"/>
    </xf>
    <xf numFmtId="0" fontId="14" fillId="15" borderId="6">
      <alignment vertical="center"/>
    </xf>
    <xf numFmtId="0" fontId="15" fillId="16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11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  <xf numFmtId="0" fontId="21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21" fillId="38" borderId="0">
      <alignment vertical="center"/>
    </xf>
    <xf numFmtId="0" fontId="21" fillId="39" borderId="0">
      <alignment vertical="center"/>
    </xf>
    <xf numFmtId="0" fontId="22" fillId="40" borderId="0">
      <alignment vertical="center"/>
    </xf>
    <xf numFmtId="0" fontId="22" fillId="41" borderId="0">
      <alignment vertical="center"/>
    </xf>
    <xf numFmtId="0" fontId="21" fillId="42" borderId="0">
      <alignment vertical="center"/>
    </xf>
  </cellStyleXfs>
  <cellXfs count="3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49" fontId="0" fillId="5" borderId="1" xfId="0" applyNumberFormat="1" applyFill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49" fontId="0" fillId="5" borderId="2" xfId="0" applyNumberFormat="1" applyFill="1" applyBorder="1" applyAlignment="1">
      <alignment horizontal="center" vertical="center" wrapText="1"/>
    </xf>
    <xf numFmtId="178" fontId="0" fillId="0" borderId="2" xfId="0" applyNumberFormat="1" applyBorder="1" applyAlignment="1">
      <alignment horizontal="center" vertical="center" wrapText="1"/>
    </xf>
    <xf numFmtId="178" fontId="0" fillId="2" borderId="2" xfId="0" applyNumberForma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7" fontId="0" fillId="3" borderId="1" xfId="0" applyNumberFormat="1" applyFill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/>
    </xf>
    <xf numFmtId="177" fontId="0" fillId="3" borderId="1" xfId="0" applyNumberForma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EBEB"/>
        </patternFill>
      </fill>
    </dxf>
    <dxf>
      <fill>
        <patternFill patternType="solid">
          <bgColor rgb="FFFFD3CC"/>
        </patternFill>
      </fill>
    </dxf>
    <dxf>
      <fill>
        <patternFill patternType="solid">
          <bgColor rgb="FFEFFF82"/>
        </patternFill>
      </fill>
    </dxf>
  </dxfs>
  <tableStyles count="0" defaultTableStyle="TableStyleMedium2" defaultPivotStyle="PivotStyleLight16"/>
  <colors>
    <mruColors>
      <color rgb="00A9D08E"/>
      <color rgb="00E89C9E"/>
      <color rgb="00FF0000"/>
      <color rgb="00FFFFFF"/>
      <color rgb="00BFBFBF"/>
      <color rgb="00AEAAAA"/>
      <color rgb="00FCE4D6"/>
      <color rgb="00DDEBF7"/>
      <color rgb="00FFF2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1"/>
  <sheetViews>
    <sheetView tabSelected="1" zoomScale="85" zoomScaleNormal="85" workbookViewId="0">
      <pane xSplit="1" ySplit="1" topLeftCell="B21" activePane="bottomRight" state="frozen"/>
      <selection/>
      <selection pane="topRight"/>
      <selection pane="bottomLeft"/>
      <selection pane="bottomRight" activeCell="AF45" sqref="AF45"/>
    </sheetView>
  </sheetViews>
  <sheetFormatPr defaultColWidth="9" defaultRowHeight="16.8"/>
  <cols>
    <col min="1" max="1" width="21.1538461538462" style="1" customWidth="1"/>
    <col min="2" max="2" width="18.7596153846154" style="1" customWidth="1"/>
    <col min="3" max="3" width="22.6153846153846" style="1" customWidth="1"/>
    <col min="4" max="4" width="11.6923076923077" style="1" customWidth="1"/>
    <col min="5" max="6" width="11.0480769230769" style="1" customWidth="1"/>
    <col min="7" max="7" width="9.46153846153846" style="1" customWidth="1"/>
    <col min="8" max="8" width="9.46153846153846" style="2" customWidth="1"/>
    <col min="9" max="9" width="9.46153846153846" style="3" customWidth="1"/>
    <col min="10" max="14" width="10" style="1" customWidth="1"/>
    <col min="15" max="15" width="9" style="4" customWidth="1"/>
    <col min="16" max="16" width="9" style="1" customWidth="1"/>
    <col min="17" max="18" width="24.3461538461538" style="5" customWidth="1"/>
    <col min="19" max="19" width="9" style="1" customWidth="1"/>
    <col min="20" max="20" width="10.2596153846154" style="1" customWidth="1"/>
    <col min="21" max="21" width="10.2596153846154" style="6" customWidth="1"/>
    <col min="22" max="22" width="9" style="6" customWidth="1"/>
    <col min="23" max="25" width="9.61538461538461" style="6" customWidth="1"/>
    <col min="26" max="26" width="9" style="6" customWidth="1"/>
    <col min="27" max="27" width="14.25" style="1" customWidth="1"/>
    <col min="28" max="29" width="9" style="1" customWidth="1"/>
    <col min="30" max="30" width="40.375" style="1" customWidth="1"/>
    <col min="31" max="31" width="34.4519230769231" style="1" customWidth="1"/>
    <col min="32" max="16384" width="9" style="1" customWidth="1"/>
  </cols>
  <sheetData>
    <row r="1" ht="69" customHeight="1" spans="1:34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25" t="s">
        <v>5</v>
      </c>
      <c r="G1" s="8" t="s">
        <v>6</v>
      </c>
      <c r="H1" s="26" t="s">
        <v>7</v>
      </c>
      <c r="I1" s="33" t="s">
        <v>8</v>
      </c>
      <c r="J1" s="8" t="s">
        <v>9</v>
      </c>
      <c r="K1" s="8" t="s">
        <v>10</v>
      </c>
      <c r="L1" s="8"/>
      <c r="M1" s="8" t="s">
        <v>11</v>
      </c>
      <c r="N1" s="8" t="s">
        <v>12</v>
      </c>
      <c r="O1" s="34" t="s">
        <v>13</v>
      </c>
      <c r="Q1" s="35" t="s">
        <v>14</v>
      </c>
      <c r="R1" s="35" t="s">
        <v>15</v>
      </c>
      <c r="T1" s="7" t="s">
        <v>16</v>
      </c>
      <c r="U1" s="36" t="s">
        <v>17</v>
      </c>
      <c r="V1" s="36" t="s">
        <v>18</v>
      </c>
      <c r="W1" s="36" t="s">
        <v>19</v>
      </c>
      <c r="X1" s="36" t="s">
        <v>20</v>
      </c>
      <c r="Y1" s="36" t="s">
        <v>21</v>
      </c>
      <c r="Z1" s="36" t="s">
        <v>22</v>
      </c>
      <c r="AD1" s="7" t="s">
        <v>23</v>
      </c>
      <c r="AE1" s="7" t="s">
        <v>24</v>
      </c>
      <c r="AF1" s="7" t="s">
        <v>25</v>
      </c>
      <c r="AG1" s="7" t="s">
        <v>26</v>
      </c>
      <c r="AH1" s="7" t="s">
        <v>27</v>
      </c>
    </row>
    <row r="2" ht="25" customHeight="1" spans="1:34">
      <c r="A2" s="10" t="s">
        <v>28</v>
      </c>
      <c r="B2" s="11" t="s">
        <v>29</v>
      </c>
      <c r="C2" s="9">
        <v>0</v>
      </c>
      <c r="D2" s="9">
        <v>0</v>
      </c>
      <c r="E2" s="27">
        <f t="shared" ref="E2:E62" si="0">C2+D2</f>
        <v>0</v>
      </c>
      <c r="F2" s="28">
        <v>16.4</v>
      </c>
      <c r="G2" s="29">
        <v>13.8</v>
      </c>
      <c r="H2" s="26">
        <v>20.5</v>
      </c>
      <c r="I2" s="26">
        <f t="shared" ref="I2:I19" si="1">MAX(F2,G2)*1.375</f>
        <v>22.55</v>
      </c>
      <c r="J2" s="26">
        <f t="shared" ref="J2:J62" si="2">(C2)/I2</f>
        <v>0</v>
      </c>
      <c r="K2" s="26">
        <f t="shared" ref="K2:K62" si="3">(E2)/I2</f>
        <v>0</v>
      </c>
      <c r="L2" s="17"/>
      <c r="M2" s="17">
        <v>19.43</v>
      </c>
      <c r="N2" s="17">
        <v>6</v>
      </c>
      <c r="O2" s="34">
        <f t="shared" ref="O2:O45" si="4">M2+N2</f>
        <v>25.43</v>
      </c>
      <c r="Q2" s="35">
        <f t="shared" ref="Q2:Q45" si="5">M2*C2</f>
        <v>0</v>
      </c>
      <c r="R2" s="35">
        <f t="shared" ref="R2:R45" si="6">M2*D2</f>
        <v>0</v>
      </c>
      <c r="T2" s="7">
        <v>36</v>
      </c>
      <c r="U2" s="37"/>
      <c r="V2" s="37"/>
      <c r="W2" s="38">
        <f>CEILING(MAX(0,135-MAX(K2,60))*I2/T2,1)*T2</f>
        <v>1692</v>
      </c>
      <c r="X2" s="37"/>
      <c r="Y2" s="37"/>
      <c r="Z2" s="38">
        <f>MIN(CEILING(MAX(0,115-MAX(J2,30))*I2/T2,1)*T2,D2)</f>
        <v>0</v>
      </c>
      <c r="AD2" s="7" t="s">
        <v>30</v>
      </c>
      <c r="AE2" s="7" t="s">
        <v>31</v>
      </c>
      <c r="AF2" s="7">
        <v>50</v>
      </c>
      <c r="AG2" s="7">
        <v>37</v>
      </c>
      <c r="AH2" s="7">
        <v>40</v>
      </c>
    </row>
    <row r="3" ht="25" customHeight="1" spans="1:34">
      <c r="A3" s="12" t="s">
        <v>32</v>
      </c>
      <c r="B3" s="11" t="s">
        <v>33</v>
      </c>
      <c r="C3" s="9">
        <v>0</v>
      </c>
      <c r="D3" s="9">
        <v>0</v>
      </c>
      <c r="E3" s="27">
        <f t="shared" si="0"/>
        <v>0</v>
      </c>
      <c r="F3" s="28">
        <v>5.7</v>
      </c>
      <c r="G3" s="29">
        <v>5.3</v>
      </c>
      <c r="H3" s="26">
        <v>8</v>
      </c>
      <c r="I3" s="26">
        <f t="shared" si="1"/>
        <v>7.8375</v>
      </c>
      <c r="J3" s="26">
        <f t="shared" si="2"/>
        <v>0</v>
      </c>
      <c r="K3" s="26">
        <f t="shared" si="3"/>
        <v>0</v>
      </c>
      <c r="L3" s="17"/>
      <c r="M3" s="17">
        <v>24.37</v>
      </c>
      <c r="N3" s="17">
        <v>10</v>
      </c>
      <c r="O3" s="34">
        <f t="shared" si="4"/>
        <v>34.37</v>
      </c>
      <c r="Q3" s="35">
        <f t="shared" si="5"/>
        <v>0</v>
      </c>
      <c r="R3" s="35">
        <f t="shared" si="6"/>
        <v>0</v>
      </c>
      <c r="T3" s="7">
        <v>32</v>
      </c>
      <c r="U3" s="37"/>
      <c r="V3" s="37"/>
      <c r="W3" s="38">
        <f>CEILING(MAX(0,135-MAX(K3,60))*I3/T3,1)*T3</f>
        <v>608</v>
      </c>
      <c r="X3" s="37"/>
      <c r="Y3" s="37"/>
      <c r="Z3" s="38">
        <f>MIN(CEILING(MAX(0,115-MAX(J3,30))*I3/T3,1)*T3,D3)</f>
        <v>0</v>
      </c>
      <c r="AD3" s="7" t="s">
        <v>34</v>
      </c>
      <c r="AE3" s="7" t="s">
        <v>35</v>
      </c>
      <c r="AF3" s="7">
        <v>60</v>
      </c>
      <c r="AG3" s="7">
        <v>40</v>
      </c>
      <c r="AH3" s="7">
        <v>45</v>
      </c>
    </row>
    <row r="4" ht="25" customHeight="1" spans="1:34">
      <c r="A4" s="13" t="s">
        <v>36</v>
      </c>
      <c r="B4" s="11" t="s">
        <v>37</v>
      </c>
      <c r="C4" s="9">
        <v>0</v>
      </c>
      <c r="D4" s="9">
        <v>0</v>
      </c>
      <c r="E4" s="27">
        <f t="shared" si="0"/>
        <v>0</v>
      </c>
      <c r="F4" s="28">
        <v>5.4</v>
      </c>
      <c r="G4" s="29">
        <v>6.1</v>
      </c>
      <c r="H4" s="26">
        <v>8</v>
      </c>
      <c r="I4" s="26">
        <f t="shared" si="1"/>
        <v>8.3875</v>
      </c>
      <c r="J4" s="26">
        <f t="shared" si="2"/>
        <v>0</v>
      </c>
      <c r="K4" s="26">
        <f t="shared" si="3"/>
        <v>0</v>
      </c>
      <c r="L4" s="17"/>
      <c r="M4" s="17">
        <v>22.74</v>
      </c>
      <c r="N4" s="17">
        <v>6.98</v>
      </c>
      <c r="O4" s="34">
        <f t="shared" si="4"/>
        <v>29.72</v>
      </c>
      <c r="Q4" s="35">
        <f t="shared" si="5"/>
        <v>0</v>
      </c>
      <c r="R4" s="35">
        <f t="shared" si="6"/>
        <v>0</v>
      </c>
      <c r="T4" s="7">
        <v>42</v>
      </c>
      <c r="U4" s="37"/>
      <c r="V4" s="37"/>
      <c r="W4" s="38">
        <f>CEILING(MAX(0,135-MAX(K4,60))*I4/T4,1)*T4</f>
        <v>630</v>
      </c>
      <c r="X4" s="37"/>
      <c r="Y4" s="37"/>
      <c r="Z4" s="38">
        <f>MIN(CEILING(MAX(0,115-MAX(J4,30))*I4/T4,1)*T4,D4)</f>
        <v>0</v>
      </c>
      <c r="AD4" s="7" t="s">
        <v>38</v>
      </c>
      <c r="AE4" s="7" t="s">
        <v>39</v>
      </c>
      <c r="AF4" s="7">
        <v>60</v>
      </c>
      <c r="AG4" s="7">
        <v>40</v>
      </c>
      <c r="AH4" s="7">
        <v>45</v>
      </c>
    </row>
    <row r="5" ht="25" customHeight="1" spans="1:34">
      <c r="A5" s="14" t="s">
        <v>40</v>
      </c>
      <c r="B5" s="11" t="s">
        <v>41</v>
      </c>
      <c r="C5" s="9">
        <v>0</v>
      </c>
      <c r="D5" s="9">
        <v>0</v>
      </c>
      <c r="E5" s="27">
        <f t="shared" si="0"/>
        <v>0</v>
      </c>
      <c r="F5" s="28">
        <v>10</v>
      </c>
      <c r="G5" s="29">
        <v>11.5</v>
      </c>
      <c r="H5" s="26">
        <v>17</v>
      </c>
      <c r="I5" s="26">
        <f t="shared" si="1"/>
        <v>15.8125</v>
      </c>
      <c r="J5" s="26">
        <f t="shared" si="2"/>
        <v>0</v>
      </c>
      <c r="K5" s="26">
        <f t="shared" si="3"/>
        <v>0</v>
      </c>
      <c r="L5" s="17"/>
      <c r="M5" s="17">
        <v>24.37</v>
      </c>
      <c r="N5" s="17">
        <v>10</v>
      </c>
      <c r="O5" s="34">
        <f t="shared" si="4"/>
        <v>34.37</v>
      </c>
      <c r="Q5" s="35">
        <f t="shared" si="5"/>
        <v>0</v>
      </c>
      <c r="R5" s="35">
        <f t="shared" si="6"/>
        <v>0</v>
      </c>
      <c r="T5" s="7">
        <v>32</v>
      </c>
      <c r="U5" s="37"/>
      <c r="V5" s="37"/>
      <c r="W5" s="38">
        <f>CEILING(MAX(0,135-MAX(K5,60))*I5/T5,1)*T5</f>
        <v>1216</v>
      </c>
      <c r="X5" s="37"/>
      <c r="Y5" s="37"/>
      <c r="Z5" s="38">
        <f>MIN(CEILING(MAX(0,115-MAX(J5,30))*I5/T5,1)*T5,D5)</f>
        <v>0</v>
      </c>
      <c r="AD5" s="7" t="s">
        <v>42</v>
      </c>
      <c r="AE5" s="7" t="s">
        <v>43</v>
      </c>
      <c r="AF5" s="7">
        <v>60</v>
      </c>
      <c r="AG5" s="7">
        <v>40</v>
      </c>
      <c r="AH5" s="7">
        <v>45</v>
      </c>
    </row>
    <row r="6" ht="25" customHeight="1" spans="1:34">
      <c r="A6" s="15" t="s">
        <v>44</v>
      </c>
      <c r="B6" s="11" t="s">
        <v>45</v>
      </c>
      <c r="C6" s="9">
        <v>0</v>
      </c>
      <c r="D6" s="9">
        <v>0</v>
      </c>
      <c r="E6" s="27">
        <f t="shared" si="0"/>
        <v>0</v>
      </c>
      <c r="F6" s="28">
        <v>9.2</v>
      </c>
      <c r="G6" s="29">
        <v>9.4</v>
      </c>
      <c r="H6" s="26">
        <v>13.5</v>
      </c>
      <c r="I6" s="26">
        <f t="shared" si="1"/>
        <v>12.925</v>
      </c>
      <c r="J6" s="26">
        <f t="shared" si="2"/>
        <v>0</v>
      </c>
      <c r="K6" s="26">
        <f t="shared" si="3"/>
        <v>0</v>
      </c>
      <c r="L6" s="17"/>
      <c r="M6" s="17">
        <v>26.57</v>
      </c>
      <c r="N6" s="17">
        <v>10</v>
      </c>
      <c r="O6" s="34">
        <f t="shared" si="4"/>
        <v>36.57</v>
      </c>
      <c r="Q6" s="35">
        <f t="shared" si="5"/>
        <v>0</v>
      </c>
      <c r="R6" s="35">
        <f t="shared" si="6"/>
        <v>0</v>
      </c>
      <c r="T6" s="7">
        <v>32</v>
      </c>
      <c r="U6" s="37"/>
      <c r="V6" s="37"/>
      <c r="W6" s="38">
        <f>CEILING(MAX(0,135-MAX(K6,60))*I6/T6,1)*T6</f>
        <v>992</v>
      </c>
      <c r="X6" s="37"/>
      <c r="Y6" s="37"/>
      <c r="Z6" s="38">
        <f>MIN(CEILING(MAX(0,115-MAX(J6,30))*I6/T6,1)*T6,D6)</f>
        <v>0</v>
      </c>
      <c r="AD6" s="7" t="s">
        <v>46</v>
      </c>
      <c r="AE6" s="7" t="s">
        <v>47</v>
      </c>
      <c r="AF6" s="7">
        <v>60</v>
      </c>
      <c r="AG6" s="7">
        <v>40</v>
      </c>
      <c r="AH6" s="7">
        <v>45</v>
      </c>
    </row>
    <row r="7" ht="25" customHeight="1" spans="1:34">
      <c r="A7" s="16" t="s">
        <v>48</v>
      </c>
      <c r="B7" s="11" t="s">
        <v>49</v>
      </c>
      <c r="C7" s="9">
        <v>0</v>
      </c>
      <c r="D7" s="9">
        <v>0</v>
      </c>
      <c r="E7" s="27">
        <f t="shared" si="0"/>
        <v>0</v>
      </c>
      <c r="F7" s="28">
        <v>1</v>
      </c>
      <c r="G7" s="29">
        <v>1.3</v>
      </c>
      <c r="H7" s="26">
        <v>2.5</v>
      </c>
      <c r="I7" s="26">
        <f t="shared" si="1"/>
        <v>1.7875</v>
      </c>
      <c r="J7" s="26">
        <f t="shared" si="2"/>
        <v>0</v>
      </c>
      <c r="K7" s="26">
        <f t="shared" si="3"/>
        <v>0</v>
      </c>
      <c r="L7" s="17"/>
      <c r="M7" s="17">
        <v>36.11</v>
      </c>
      <c r="N7" s="17">
        <v>13.38</v>
      </c>
      <c r="O7" s="34">
        <f t="shared" si="4"/>
        <v>49.49</v>
      </c>
      <c r="Q7" s="35">
        <f t="shared" si="5"/>
        <v>0</v>
      </c>
      <c r="R7" s="35">
        <f t="shared" si="6"/>
        <v>0</v>
      </c>
      <c r="T7" s="7">
        <v>12</v>
      </c>
      <c r="U7" s="37"/>
      <c r="V7" s="38">
        <f>CEILING(MAX(0,120-MAX(K7,60))*I7/T7,1)*T7</f>
        <v>108</v>
      </c>
      <c r="W7" s="37"/>
      <c r="X7" s="37"/>
      <c r="Y7" s="38">
        <f>MIN(CEILING(MAX(0,100-MAX(J7,30))*I7/T7,1)*T7,D7)</f>
        <v>0</v>
      </c>
      <c r="Z7" s="37"/>
      <c r="AD7" s="7" t="s">
        <v>50</v>
      </c>
      <c r="AE7" s="7" t="s">
        <v>51</v>
      </c>
      <c r="AF7" s="7">
        <v>30</v>
      </c>
      <c r="AG7" s="7">
        <v>40</v>
      </c>
      <c r="AH7" s="7">
        <v>45</v>
      </c>
    </row>
    <row r="8" ht="25" customHeight="1" spans="1:34">
      <c r="A8" s="13" t="s">
        <v>52</v>
      </c>
      <c r="B8" s="11" t="s">
        <v>53</v>
      </c>
      <c r="C8" s="9">
        <v>0</v>
      </c>
      <c r="D8" s="9">
        <v>0</v>
      </c>
      <c r="E8" s="27">
        <f t="shared" si="0"/>
        <v>0</v>
      </c>
      <c r="F8" s="28">
        <v>1.7</v>
      </c>
      <c r="G8" s="29">
        <v>1.6</v>
      </c>
      <c r="H8" s="26">
        <f t="shared" ref="H8:H14" si="7">MAX(E8,F8)*1.375</f>
        <v>2.3375</v>
      </c>
      <c r="I8" s="26">
        <f t="shared" si="1"/>
        <v>2.3375</v>
      </c>
      <c r="J8" s="26">
        <f t="shared" si="2"/>
        <v>0</v>
      </c>
      <c r="K8" s="26">
        <f t="shared" si="3"/>
        <v>0</v>
      </c>
      <c r="L8" s="17"/>
      <c r="M8" s="17">
        <v>33.71</v>
      </c>
      <c r="N8" s="17">
        <v>10.47</v>
      </c>
      <c r="O8" s="34">
        <f t="shared" si="4"/>
        <v>44.18</v>
      </c>
      <c r="Q8" s="35">
        <f t="shared" si="5"/>
        <v>0</v>
      </c>
      <c r="R8" s="35">
        <f t="shared" si="6"/>
        <v>0</v>
      </c>
      <c r="T8" s="7">
        <v>15</v>
      </c>
      <c r="U8" s="37"/>
      <c r="V8" s="38">
        <f t="shared" ref="V8:V15" si="8">CEILING(MAX(0,120-MAX(K8,60))*I8/T8,1)*T8</f>
        <v>150</v>
      </c>
      <c r="W8" s="37"/>
      <c r="X8" s="37"/>
      <c r="Y8" s="38">
        <f t="shared" ref="Y8:Y15" si="9">MIN(CEILING(MAX(0,100-MAX(J8,30))*I8/T8,1)*T8,D8)</f>
        <v>0</v>
      </c>
      <c r="Z8" s="37"/>
      <c r="AD8" s="7" t="s">
        <v>54</v>
      </c>
      <c r="AE8" s="7" t="s">
        <v>55</v>
      </c>
      <c r="AF8" s="7">
        <v>30</v>
      </c>
      <c r="AG8" s="7">
        <v>40</v>
      </c>
      <c r="AH8" s="7">
        <v>45</v>
      </c>
    </row>
    <row r="9" ht="25" customHeight="1" spans="1:34">
      <c r="A9" s="10" t="s">
        <v>56</v>
      </c>
      <c r="B9" s="11" t="s">
        <v>57</v>
      </c>
      <c r="C9" s="9">
        <v>0</v>
      </c>
      <c r="D9" s="9">
        <v>0</v>
      </c>
      <c r="E9" s="27">
        <f t="shared" si="0"/>
        <v>0</v>
      </c>
      <c r="F9" s="28">
        <v>1.7</v>
      </c>
      <c r="G9" s="29">
        <v>1.3</v>
      </c>
      <c r="H9" s="26">
        <v>5</v>
      </c>
      <c r="I9" s="26">
        <f t="shared" si="1"/>
        <v>2.3375</v>
      </c>
      <c r="J9" s="26">
        <f t="shared" si="2"/>
        <v>0</v>
      </c>
      <c r="K9" s="26">
        <f t="shared" si="3"/>
        <v>0</v>
      </c>
      <c r="L9" s="17"/>
      <c r="M9" s="17">
        <v>28.52</v>
      </c>
      <c r="N9" s="17">
        <v>9</v>
      </c>
      <c r="O9" s="34">
        <f t="shared" si="4"/>
        <v>37.52</v>
      </c>
      <c r="Q9" s="35">
        <f t="shared" si="5"/>
        <v>0</v>
      </c>
      <c r="R9" s="35">
        <f t="shared" si="6"/>
        <v>0</v>
      </c>
      <c r="T9" s="7">
        <v>28</v>
      </c>
      <c r="U9" s="37"/>
      <c r="V9" s="38">
        <f t="shared" si="8"/>
        <v>168</v>
      </c>
      <c r="W9" s="37"/>
      <c r="X9" s="37"/>
      <c r="Y9" s="38">
        <f t="shared" si="9"/>
        <v>0</v>
      </c>
      <c r="Z9" s="37"/>
      <c r="AD9" s="7" t="s">
        <v>58</v>
      </c>
      <c r="AE9" s="7" t="s">
        <v>59</v>
      </c>
      <c r="AF9" s="7">
        <v>50</v>
      </c>
      <c r="AG9" s="7">
        <v>37</v>
      </c>
      <c r="AH9" s="7">
        <v>40</v>
      </c>
    </row>
    <row r="10" ht="25" customHeight="1" spans="1:34">
      <c r="A10" s="15" t="s">
        <v>60</v>
      </c>
      <c r="B10" s="11" t="s">
        <v>61</v>
      </c>
      <c r="C10" s="9">
        <v>0</v>
      </c>
      <c r="D10" s="9">
        <v>0</v>
      </c>
      <c r="E10" s="27">
        <f t="shared" si="0"/>
        <v>0</v>
      </c>
      <c r="F10" s="28">
        <v>0.2</v>
      </c>
      <c r="G10" s="29">
        <v>0.8</v>
      </c>
      <c r="H10" s="26">
        <v>5</v>
      </c>
      <c r="I10" s="26">
        <f t="shared" si="1"/>
        <v>1.1</v>
      </c>
      <c r="J10" s="26">
        <f t="shared" si="2"/>
        <v>0</v>
      </c>
      <c r="K10" s="26">
        <f t="shared" si="3"/>
        <v>0</v>
      </c>
      <c r="L10" s="17"/>
      <c r="M10" s="17">
        <v>26.57</v>
      </c>
      <c r="N10" s="17">
        <v>10</v>
      </c>
      <c r="O10" s="34">
        <f t="shared" si="4"/>
        <v>36.57</v>
      </c>
      <c r="Q10" s="35">
        <f t="shared" si="5"/>
        <v>0</v>
      </c>
      <c r="R10" s="35">
        <f t="shared" si="6"/>
        <v>0</v>
      </c>
      <c r="T10" s="7">
        <v>32</v>
      </c>
      <c r="U10" s="37"/>
      <c r="V10" s="38">
        <f t="shared" si="8"/>
        <v>96</v>
      </c>
      <c r="W10" s="37"/>
      <c r="X10" s="37"/>
      <c r="Y10" s="38">
        <f t="shared" si="9"/>
        <v>0</v>
      </c>
      <c r="Z10" s="37"/>
      <c r="AD10" s="7" t="s">
        <v>62</v>
      </c>
      <c r="AE10" s="7" t="s">
        <v>63</v>
      </c>
      <c r="AF10" s="7">
        <v>60</v>
      </c>
      <c r="AG10" s="7">
        <v>40</v>
      </c>
      <c r="AH10" s="7">
        <v>45</v>
      </c>
    </row>
    <row r="11" ht="25" customHeight="1" spans="1:34">
      <c r="A11" s="14" t="s">
        <v>64</v>
      </c>
      <c r="B11" s="11" t="s">
        <v>65</v>
      </c>
      <c r="C11" s="9">
        <v>0</v>
      </c>
      <c r="D11" s="9">
        <v>0</v>
      </c>
      <c r="E11" s="27">
        <f t="shared" si="0"/>
        <v>0</v>
      </c>
      <c r="F11" s="28">
        <v>3.7</v>
      </c>
      <c r="G11" s="29">
        <v>4.2</v>
      </c>
      <c r="H11" s="26">
        <v>5.5</v>
      </c>
      <c r="I11" s="26">
        <f t="shared" si="1"/>
        <v>5.775</v>
      </c>
      <c r="J11" s="26">
        <f t="shared" si="2"/>
        <v>0</v>
      </c>
      <c r="K11" s="26">
        <f t="shared" si="3"/>
        <v>0</v>
      </c>
      <c r="L11" s="17"/>
      <c r="M11" s="17">
        <v>36.11</v>
      </c>
      <c r="N11" s="17">
        <v>13.38</v>
      </c>
      <c r="O11" s="34">
        <f t="shared" si="4"/>
        <v>49.49</v>
      </c>
      <c r="Q11" s="35">
        <f t="shared" si="5"/>
        <v>0</v>
      </c>
      <c r="R11" s="35">
        <f t="shared" si="6"/>
        <v>0</v>
      </c>
      <c r="T11" s="7">
        <v>24</v>
      </c>
      <c r="U11" s="37"/>
      <c r="V11" s="38">
        <f t="shared" si="8"/>
        <v>360</v>
      </c>
      <c r="W11" s="37"/>
      <c r="X11" s="37"/>
      <c r="Y11" s="38">
        <f t="shared" si="9"/>
        <v>0</v>
      </c>
      <c r="Z11" s="37"/>
      <c r="AD11" s="7" t="s">
        <v>66</v>
      </c>
      <c r="AE11" s="7" t="s">
        <v>67</v>
      </c>
      <c r="AF11" s="7">
        <v>60</v>
      </c>
      <c r="AG11" s="7">
        <v>40</v>
      </c>
      <c r="AH11" s="7">
        <v>45</v>
      </c>
    </row>
    <row r="12" s="1" customFormat="1" ht="25" customHeight="1" spans="1:34">
      <c r="A12" s="15" t="s">
        <v>68</v>
      </c>
      <c r="B12" s="17" t="s">
        <v>69</v>
      </c>
      <c r="C12" s="9">
        <v>0</v>
      </c>
      <c r="D12" s="9">
        <v>0</v>
      </c>
      <c r="E12" s="27">
        <f t="shared" si="0"/>
        <v>0</v>
      </c>
      <c r="F12" s="28">
        <v>0.1</v>
      </c>
      <c r="G12" s="29">
        <v>0.2</v>
      </c>
      <c r="H12" s="26">
        <f t="shared" si="7"/>
        <v>0.1375</v>
      </c>
      <c r="I12" s="26">
        <f t="shared" si="1"/>
        <v>0.275</v>
      </c>
      <c r="J12" s="26">
        <f t="shared" si="2"/>
        <v>0</v>
      </c>
      <c r="K12" s="26">
        <f t="shared" si="3"/>
        <v>0</v>
      </c>
      <c r="L12" s="17"/>
      <c r="M12" s="17">
        <v>39.8</v>
      </c>
      <c r="N12" s="17">
        <v>13.38</v>
      </c>
      <c r="O12" s="34">
        <f t="shared" si="4"/>
        <v>53.18</v>
      </c>
      <c r="Q12" s="35">
        <f t="shared" si="5"/>
        <v>0</v>
      </c>
      <c r="R12" s="35">
        <f t="shared" si="6"/>
        <v>0</v>
      </c>
      <c r="T12" s="7">
        <v>12</v>
      </c>
      <c r="U12" s="37"/>
      <c r="V12" s="38">
        <f t="shared" si="8"/>
        <v>24</v>
      </c>
      <c r="W12" s="37"/>
      <c r="X12" s="37"/>
      <c r="Y12" s="38">
        <f t="shared" si="9"/>
        <v>0</v>
      </c>
      <c r="Z12" s="37"/>
      <c r="AD12" s="7" t="s">
        <v>70</v>
      </c>
      <c r="AE12" s="7" t="s">
        <v>71</v>
      </c>
      <c r="AF12" s="7">
        <v>30</v>
      </c>
      <c r="AG12" s="7">
        <v>40</v>
      </c>
      <c r="AH12" s="7">
        <v>45</v>
      </c>
    </row>
    <row r="13" ht="25" customHeight="1" spans="1:34">
      <c r="A13" s="13" t="s">
        <v>72</v>
      </c>
      <c r="B13" s="17" t="s">
        <v>73</v>
      </c>
      <c r="C13" s="9">
        <v>0</v>
      </c>
      <c r="D13" s="9">
        <v>0</v>
      </c>
      <c r="E13" s="27">
        <f t="shared" si="0"/>
        <v>0</v>
      </c>
      <c r="F13" s="28">
        <v>0.8</v>
      </c>
      <c r="G13" s="29">
        <v>1.1</v>
      </c>
      <c r="H13" s="26">
        <f t="shared" si="7"/>
        <v>1.1</v>
      </c>
      <c r="I13" s="26">
        <f t="shared" si="1"/>
        <v>1.5125</v>
      </c>
      <c r="J13" s="26">
        <f t="shared" si="2"/>
        <v>0</v>
      </c>
      <c r="K13" s="26">
        <f t="shared" si="3"/>
        <v>0</v>
      </c>
      <c r="L13" s="17"/>
      <c r="M13" s="17">
        <v>33.71</v>
      </c>
      <c r="N13" s="17">
        <v>10.47</v>
      </c>
      <c r="O13" s="34">
        <f t="shared" si="4"/>
        <v>44.18</v>
      </c>
      <c r="Q13" s="35">
        <f t="shared" si="5"/>
        <v>0</v>
      </c>
      <c r="R13" s="35">
        <f t="shared" si="6"/>
        <v>0</v>
      </c>
      <c r="T13" s="7">
        <v>15</v>
      </c>
      <c r="U13" s="37"/>
      <c r="V13" s="38">
        <f t="shared" si="8"/>
        <v>105</v>
      </c>
      <c r="W13" s="37"/>
      <c r="X13" s="37"/>
      <c r="Y13" s="38">
        <f t="shared" si="9"/>
        <v>0</v>
      </c>
      <c r="Z13" s="37"/>
      <c r="AD13" s="7" t="s">
        <v>74</v>
      </c>
      <c r="AE13" s="7" t="s">
        <v>75</v>
      </c>
      <c r="AF13" s="7">
        <v>30</v>
      </c>
      <c r="AG13" s="7">
        <v>40</v>
      </c>
      <c r="AH13" s="7">
        <v>45</v>
      </c>
    </row>
    <row r="14" ht="25" customHeight="1" spans="1:34">
      <c r="A14" s="15" t="s">
        <v>76</v>
      </c>
      <c r="B14" s="11" t="s">
        <v>77</v>
      </c>
      <c r="C14" s="9">
        <v>0</v>
      </c>
      <c r="D14" s="9">
        <v>0</v>
      </c>
      <c r="E14" s="27">
        <f t="shared" si="0"/>
        <v>0</v>
      </c>
      <c r="F14" s="28">
        <v>2.5</v>
      </c>
      <c r="G14" s="29">
        <v>2</v>
      </c>
      <c r="H14" s="26">
        <f t="shared" si="7"/>
        <v>3.4375</v>
      </c>
      <c r="I14" s="26">
        <f t="shared" si="1"/>
        <v>3.4375</v>
      </c>
      <c r="J14" s="26">
        <f t="shared" si="2"/>
        <v>0</v>
      </c>
      <c r="K14" s="26">
        <f t="shared" si="3"/>
        <v>0</v>
      </c>
      <c r="L14" s="17"/>
      <c r="M14" s="17">
        <v>39.8</v>
      </c>
      <c r="N14" s="17">
        <v>13.38</v>
      </c>
      <c r="O14" s="34">
        <f t="shared" si="4"/>
        <v>53.18</v>
      </c>
      <c r="Q14" s="35">
        <f t="shared" si="5"/>
        <v>0</v>
      </c>
      <c r="R14" s="35">
        <f t="shared" si="6"/>
        <v>0</v>
      </c>
      <c r="T14" s="7">
        <v>12</v>
      </c>
      <c r="U14" s="37"/>
      <c r="V14" s="38">
        <f t="shared" si="8"/>
        <v>216</v>
      </c>
      <c r="W14" s="37"/>
      <c r="X14" s="37"/>
      <c r="Y14" s="38">
        <f t="shared" si="9"/>
        <v>0</v>
      </c>
      <c r="Z14" s="37"/>
      <c r="AD14" s="7" t="s">
        <v>78</v>
      </c>
      <c r="AE14" s="7" t="s">
        <v>79</v>
      </c>
      <c r="AF14" s="7">
        <v>30</v>
      </c>
      <c r="AG14" s="7">
        <v>40</v>
      </c>
      <c r="AH14" s="7">
        <v>45</v>
      </c>
    </row>
    <row r="15" s="1" customFormat="1" ht="25" customHeight="1" spans="1:34">
      <c r="A15" s="14" t="s">
        <v>80</v>
      </c>
      <c r="B15" s="7" t="s">
        <v>81</v>
      </c>
      <c r="C15" s="9">
        <v>0</v>
      </c>
      <c r="D15" s="9">
        <v>0</v>
      </c>
      <c r="E15" s="27">
        <f t="shared" si="0"/>
        <v>0</v>
      </c>
      <c r="F15" s="7">
        <v>0.4</v>
      </c>
      <c r="G15" s="7">
        <v>0.1</v>
      </c>
      <c r="H15" s="26">
        <v>3</v>
      </c>
      <c r="I15" s="26">
        <f t="shared" si="1"/>
        <v>0.55</v>
      </c>
      <c r="J15" s="26">
        <f t="shared" si="2"/>
        <v>0</v>
      </c>
      <c r="K15" s="26">
        <f t="shared" si="3"/>
        <v>0</v>
      </c>
      <c r="L15" s="17"/>
      <c r="M15" s="17">
        <v>24.37</v>
      </c>
      <c r="N15" s="17">
        <v>10</v>
      </c>
      <c r="O15" s="34">
        <f t="shared" si="4"/>
        <v>34.37</v>
      </c>
      <c r="Q15" s="35">
        <f t="shared" si="5"/>
        <v>0</v>
      </c>
      <c r="R15" s="35">
        <f t="shared" si="6"/>
        <v>0</v>
      </c>
      <c r="T15" s="7">
        <v>16</v>
      </c>
      <c r="U15" s="37"/>
      <c r="V15" s="38">
        <f t="shared" si="8"/>
        <v>48</v>
      </c>
      <c r="W15" s="37"/>
      <c r="X15" s="37"/>
      <c r="Y15" s="38">
        <f t="shared" si="9"/>
        <v>0</v>
      </c>
      <c r="Z15" s="37"/>
      <c r="AD15" s="7" t="s">
        <v>82</v>
      </c>
      <c r="AE15" s="7" t="s">
        <v>83</v>
      </c>
      <c r="AF15" s="7">
        <v>30</v>
      </c>
      <c r="AG15" s="7">
        <v>40</v>
      </c>
      <c r="AH15" s="7">
        <v>45</v>
      </c>
    </row>
    <row r="16" s="1" customFormat="1" ht="25" customHeight="1" spans="1:34">
      <c r="A16" s="18" t="s">
        <v>84</v>
      </c>
      <c r="B16" s="17" t="s">
        <v>85</v>
      </c>
      <c r="C16" s="9">
        <v>0</v>
      </c>
      <c r="D16" s="9">
        <v>0</v>
      </c>
      <c r="E16" s="27">
        <f t="shared" si="0"/>
        <v>0</v>
      </c>
      <c r="F16" s="28">
        <v>1.4</v>
      </c>
      <c r="G16" s="29">
        <v>1.4</v>
      </c>
      <c r="H16" s="26">
        <v>1.9</v>
      </c>
      <c r="I16" s="26">
        <f t="shared" si="1"/>
        <v>1.925</v>
      </c>
      <c r="J16" s="26">
        <f t="shared" si="2"/>
        <v>0</v>
      </c>
      <c r="K16" s="26">
        <f t="shared" si="3"/>
        <v>0</v>
      </c>
      <c r="L16" s="17"/>
      <c r="M16" s="17">
        <v>24.37</v>
      </c>
      <c r="N16" s="17">
        <v>10</v>
      </c>
      <c r="O16" s="34">
        <f t="shared" si="4"/>
        <v>34.37</v>
      </c>
      <c r="Q16" s="35">
        <f t="shared" si="5"/>
        <v>0</v>
      </c>
      <c r="R16" s="35">
        <f t="shared" si="6"/>
        <v>0</v>
      </c>
      <c r="T16" s="7">
        <v>16</v>
      </c>
      <c r="U16" s="38">
        <f t="shared" ref="U16:U29" si="10">CEILING(MAX(0,90-MAX(K16,60))*I16/T16,1)*T16</f>
        <v>64</v>
      </c>
      <c r="V16" s="37"/>
      <c r="W16" s="37"/>
      <c r="X16" s="38">
        <f t="shared" ref="X16:X29" si="11">MIN(CEILING(MAX(0,70-MAX(J16,30))*I16/T16,1)*T16,D16)</f>
        <v>0</v>
      </c>
      <c r="Y16" s="37"/>
      <c r="Z16" s="37"/>
      <c r="AD16" s="7" t="s">
        <v>86</v>
      </c>
      <c r="AE16" s="7" t="s">
        <v>87</v>
      </c>
      <c r="AF16" s="7">
        <v>30</v>
      </c>
      <c r="AG16" s="7">
        <v>40</v>
      </c>
      <c r="AH16" s="7">
        <v>45</v>
      </c>
    </row>
    <row r="17" s="1" customFormat="1" ht="25" customHeight="1" spans="1:34">
      <c r="A17" s="19" t="s">
        <v>88</v>
      </c>
      <c r="B17" s="17" t="s">
        <v>89</v>
      </c>
      <c r="C17" s="9">
        <v>0</v>
      </c>
      <c r="D17" s="9">
        <v>0</v>
      </c>
      <c r="E17" s="27">
        <f t="shared" si="0"/>
        <v>0</v>
      </c>
      <c r="F17" s="28">
        <v>1</v>
      </c>
      <c r="G17" s="29">
        <v>0.4</v>
      </c>
      <c r="H17" s="26">
        <v>6</v>
      </c>
      <c r="I17" s="26">
        <f t="shared" si="1"/>
        <v>1.375</v>
      </c>
      <c r="J17" s="26">
        <f t="shared" si="2"/>
        <v>0</v>
      </c>
      <c r="K17" s="26">
        <f t="shared" si="3"/>
        <v>0</v>
      </c>
      <c r="L17" s="17"/>
      <c r="M17" s="17">
        <v>19.43</v>
      </c>
      <c r="N17" s="17">
        <v>6</v>
      </c>
      <c r="O17" s="34">
        <f t="shared" si="4"/>
        <v>25.43</v>
      </c>
      <c r="Q17" s="35">
        <f t="shared" si="5"/>
        <v>0</v>
      </c>
      <c r="R17" s="35">
        <f t="shared" si="6"/>
        <v>0</v>
      </c>
      <c r="T17" s="7">
        <v>20</v>
      </c>
      <c r="U17" s="38">
        <f t="shared" si="10"/>
        <v>60</v>
      </c>
      <c r="V17" s="37"/>
      <c r="W17" s="37"/>
      <c r="X17" s="38">
        <f t="shared" si="11"/>
        <v>0</v>
      </c>
      <c r="Y17" s="37"/>
      <c r="Z17" s="37"/>
      <c r="AD17" s="7" t="s">
        <v>90</v>
      </c>
      <c r="AE17" s="7" t="s">
        <v>91</v>
      </c>
      <c r="AF17" s="7">
        <v>25</v>
      </c>
      <c r="AG17" s="7">
        <v>37</v>
      </c>
      <c r="AH17" s="7">
        <v>40</v>
      </c>
    </row>
    <row r="18" s="1" customFormat="1" ht="25" customHeight="1" spans="1:34">
      <c r="A18" s="20" t="s">
        <v>92</v>
      </c>
      <c r="B18" s="17" t="s">
        <v>93</v>
      </c>
      <c r="C18" s="9">
        <v>0</v>
      </c>
      <c r="D18" s="9">
        <v>0</v>
      </c>
      <c r="E18" s="27">
        <f t="shared" si="0"/>
        <v>0</v>
      </c>
      <c r="F18" s="28">
        <v>1</v>
      </c>
      <c r="G18" s="29">
        <v>0.3</v>
      </c>
      <c r="H18" s="26">
        <f t="shared" ref="H18:H21" si="12">MAX(E18,F18)*1.375</f>
        <v>1.375</v>
      </c>
      <c r="I18" s="26">
        <f t="shared" si="1"/>
        <v>1.375</v>
      </c>
      <c r="J18" s="26">
        <f t="shared" si="2"/>
        <v>0</v>
      </c>
      <c r="K18" s="26">
        <f t="shared" si="3"/>
        <v>0</v>
      </c>
      <c r="L18" s="17"/>
      <c r="M18" s="17">
        <v>36.11</v>
      </c>
      <c r="N18" s="17">
        <v>13.38</v>
      </c>
      <c r="O18" s="34">
        <f t="shared" si="4"/>
        <v>49.49</v>
      </c>
      <c r="Q18" s="35">
        <f t="shared" si="5"/>
        <v>0</v>
      </c>
      <c r="R18" s="35">
        <f t="shared" si="6"/>
        <v>0</v>
      </c>
      <c r="T18" s="7">
        <v>12</v>
      </c>
      <c r="U18" s="38">
        <f t="shared" si="10"/>
        <v>48</v>
      </c>
      <c r="V18" s="37"/>
      <c r="W18" s="37"/>
      <c r="X18" s="38">
        <f t="shared" si="11"/>
        <v>0</v>
      </c>
      <c r="Y18" s="37"/>
      <c r="Z18" s="37"/>
      <c r="AD18" s="7" t="s">
        <v>94</v>
      </c>
      <c r="AE18" s="7" t="s">
        <v>95</v>
      </c>
      <c r="AF18" s="7">
        <v>30</v>
      </c>
      <c r="AG18" s="7">
        <v>40</v>
      </c>
      <c r="AH18" s="7">
        <v>45</v>
      </c>
    </row>
    <row r="19" s="1" customFormat="1" ht="25" customHeight="1" spans="1:34">
      <c r="A19" s="18" t="s">
        <v>96</v>
      </c>
      <c r="B19" s="17" t="s">
        <v>97</v>
      </c>
      <c r="C19" s="9">
        <v>0</v>
      </c>
      <c r="D19" s="9">
        <v>0</v>
      </c>
      <c r="E19" s="27">
        <f t="shared" si="0"/>
        <v>0</v>
      </c>
      <c r="F19" s="28">
        <v>0.5</v>
      </c>
      <c r="G19" s="29">
        <v>0.9</v>
      </c>
      <c r="H19" s="26">
        <v>1.4</v>
      </c>
      <c r="I19" s="26">
        <f t="shared" ref="I19:I41" si="13">MAX(F19,G19)*1.375</f>
        <v>1.2375</v>
      </c>
      <c r="J19" s="26">
        <f t="shared" si="2"/>
        <v>0</v>
      </c>
      <c r="K19" s="26">
        <f t="shared" si="3"/>
        <v>0</v>
      </c>
      <c r="L19" s="17"/>
      <c r="M19" s="17">
        <v>24.37</v>
      </c>
      <c r="N19" s="17">
        <v>10</v>
      </c>
      <c r="O19" s="34">
        <f t="shared" si="4"/>
        <v>34.37</v>
      </c>
      <c r="Q19" s="35">
        <f t="shared" si="5"/>
        <v>0</v>
      </c>
      <c r="R19" s="35">
        <f t="shared" si="6"/>
        <v>0</v>
      </c>
      <c r="T19" s="7">
        <v>16</v>
      </c>
      <c r="U19" s="38">
        <f t="shared" si="10"/>
        <v>48</v>
      </c>
      <c r="V19" s="37"/>
      <c r="W19" s="37"/>
      <c r="X19" s="38">
        <f t="shared" si="11"/>
        <v>0</v>
      </c>
      <c r="Y19" s="37"/>
      <c r="Z19" s="37"/>
      <c r="AD19" s="7" t="s">
        <v>98</v>
      </c>
      <c r="AE19" s="7" t="s">
        <v>99</v>
      </c>
      <c r="AF19" s="7">
        <v>30</v>
      </c>
      <c r="AG19" s="7">
        <v>40</v>
      </c>
      <c r="AH19" s="7">
        <v>45</v>
      </c>
    </row>
    <row r="20" s="1" customFormat="1" ht="25" customHeight="1" spans="1:34">
      <c r="A20" s="20" t="s">
        <v>100</v>
      </c>
      <c r="B20" s="17" t="s">
        <v>101</v>
      </c>
      <c r="C20" s="9">
        <v>0</v>
      </c>
      <c r="D20" s="9">
        <v>0</v>
      </c>
      <c r="E20" s="27">
        <f t="shared" si="0"/>
        <v>0</v>
      </c>
      <c r="F20" s="28">
        <v>0</v>
      </c>
      <c r="G20" s="29">
        <v>0.4</v>
      </c>
      <c r="H20" s="26">
        <f t="shared" si="12"/>
        <v>0</v>
      </c>
      <c r="I20" s="26">
        <f t="shared" si="13"/>
        <v>0.55</v>
      </c>
      <c r="J20" s="26">
        <f t="shared" si="2"/>
        <v>0</v>
      </c>
      <c r="K20" s="26">
        <f t="shared" si="3"/>
        <v>0</v>
      </c>
      <c r="L20" s="17"/>
      <c r="M20" s="17">
        <v>36.11</v>
      </c>
      <c r="N20" s="17">
        <v>13.38</v>
      </c>
      <c r="O20" s="34">
        <f t="shared" si="4"/>
        <v>49.49</v>
      </c>
      <c r="Q20" s="35">
        <f t="shared" si="5"/>
        <v>0</v>
      </c>
      <c r="R20" s="35">
        <f t="shared" si="6"/>
        <v>0</v>
      </c>
      <c r="T20" s="7">
        <v>12</v>
      </c>
      <c r="U20" s="38">
        <f t="shared" si="10"/>
        <v>24</v>
      </c>
      <c r="V20" s="37"/>
      <c r="W20" s="37"/>
      <c r="X20" s="38">
        <f t="shared" si="11"/>
        <v>0</v>
      </c>
      <c r="Y20" s="37"/>
      <c r="Z20" s="37"/>
      <c r="AD20" s="7" t="s">
        <v>102</v>
      </c>
      <c r="AE20" s="7" t="s">
        <v>103</v>
      </c>
      <c r="AF20" s="7">
        <v>30</v>
      </c>
      <c r="AG20" s="7">
        <v>40</v>
      </c>
      <c r="AH20" s="7">
        <v>45</v>
      </c>
    </row>
    <row r="21" s="1" customFormat="1" ht="25" customHeight="1" spans="1:34">
      <c r="A21" s="21" t="s">
        <v>104</v>
      </c>
      <c r="B21" s="17" t="s">
        <v>105</v>
      </c>
      <c r="C21" s="9">
        <v>0</v>
      </c>
      <c r="D21" s="9">
        <v>0</v>
      </c>
      <c r="E21" s="27">
        <f t="shared" si="0"/>
        <v>0</v>
      </c>
      <c r="F21" s="28">
        <v>1.7</v>
      </c>
      <c r="G21" s="29">
        <v>1.8</v>
      </c>
      <c r="H21" s="26">
        <f t="shared" si="12"/>
        <v>2.3375</v>
      </c>
      <c r="I21" s="26">
        <f t="shared" si="13"/>
        <v>2.475</v>
      </c>
      <c r="J21" s="26">
        <f t="shared" si="2"/>
        <v>0</v>
      </c>
      <c r="K21" s="26">
        <f t="shared" si="3"/>
        <v>0</v>
      </c>
      <c r="L21" s="17"/>
      <c r="M21" s="17">
        <v>22.74</v>
      </c>
      <c r="N21" s="17">
        <v>6.98</v>
      </c>
      <c r="O21" s="34">
        <f t="shared" si="4"/>
        <v>29.72</v>
      </c>
      <c r="Q21" s="35">
        <f t="shared" si="5"/>
        <v>0</v>
      </c>
      <c r="R21" s="35">
        <f t="shared" si="6"/>
        <v>0</v>
      </c>
      <c r="T21" s="7">
        <v>21</v>
      </c>
      <c r="U21" s="38">
        <f t="shared" si="10"/>
        <v>84</v>
      </c>
      <c r="V21" s="37"/>
      <c r="W21" s="37"/>
      <c r="X21" s="38">
        <f t="shared" si="11"/>
        <v>0</v>
      </c>
      <c r="Y21" s="37"/>
      <c r="Z21" s="37"/>
      <c r="AD21" s="7" t="s">
        <v>106</v>
      </c>
      <c r="AE21" s="7" t="s">
        <v>107</v>
      </c>
      <c r="AF21" s="7">
        <v>30</v>
      </c>
      <c r="AG21" s="7">
        <v>40</v>
      </c>
      <c r="AH21" s="7">
        <v>45</v>
      </c>
    </row>
    <row r="22" s="1" customFormat="1" ht="25" customHeight="1" spans="1:34">
      <c r="A22" s="19" t="s">
        <v>108</v>
      </c>
      <c r="B22" s="17" t="s">
        <v>109</v>
      </c>
      <c r="C22" s="9">
        <v>0</v>
      </c>
      <c r="D22" s="9">
        <v>0</v>
      </c>
      <c r="E22" s="27">
        <f t="shared" si="0"/>
        <v>0</v>
      </c>
      <c r="F22" s="28">
        <v>0.5</v>
      </c>
      <c r="G22" s="29">
        <v>0.5</v>
      </c>
      <c r="H22" s="26">
        <v>2</v>
      </c>
      <c r="I22" s="26">
        <f t="shared" si="13"/>
        <v>0.6875</v>
      </c>
      <c r="J22" s="26">
        <f t="shared" si="2"/>
        <v>0</v>
      </c>
      <c r="K22" s="26">
        <f t="shared" si="3"/>
        <v>0</v>
      </c>
      <c r="L22" s="17"/>
      <c r="M22" s="17">
        <v>28.52</v>
      </c>
      <c r="N22" s="17">
        <v>9</v>
      </c>
      <c r="O22" s="34">
        <f t="shared" si="4"/>
        <v>37.52</v>
      </c>
      <c r="Q22" s="35">
        <f t="shared" si="5"/>
        <v>0</v>
      </c>
      <c r="R22" s="35">
        <f t="shared" si="6"/>
        <v>0</v>
      </c>
      <c r="T22" s="7">
        <v>14</v>
      </c>
      <c r="U22" s="38">
        <f t="shared" si="10"/>
        <v>28</v>
      </c>
      <c r="V22" s="37"/>
      <c r="W22" s="37"/>
      <c r="X22" s="38">
        <f t="shared" si="11"/>
        <v>0</v>
      </c>
      <c r="Y22" s="37"/>
      <c r="Z22" s="37"/>
      <c r="AD22" s="7" t="s">
        <v>110</v>
      </c>
      <c r="AE22" s="7" t="s">
        <v>111</v>
      </c>
      <c r="AF22" s="7">
        <v>25</v>
      </c>
      <c r="AG22" s="7">
        <v>37</v>
      </c>
      <c r="AH22" s="7">
        <v>40</v>
      </c>
    </row>
    <row r="23" s="1" customFormat="1" ht="25" customHeight="1" spans="1:34">
      <c r="A23" s="18" t="s">
        <v>112</v>
      </c>
      <c r="B23" s="17" t="s">
        <v>113</v>
      </c>
      <c r="C23" s="9">
        <v>0</v>
      </c>
      <c r="D23" s="9">
        <v>0</v>
      </c>
      <c r="E23" s="27">
        <f t="shared" si="0"/>
        <v>0</v>
      </c>
      <c r="F23" s="28">
        <v>0.5</v>
      </c>
      <c r="G23" s="29">
        <v>0.7</v>
      </c>
      <c r="H23" s="26">
        <f>MAX(E23,F23)*1.375</f>
        <v>0.6875</v>
      </c>
      <c r="I23" s="26">
        <f t="shared" si="13"/>
        <v>0.9625</v>
      </c>
      <c r="J23" s="26">
        <f t="shared" si="2"/>
        <v>0</v>
      </c>
      <c r="K23" s="26">
        <f t="shared" si="3"/>
        <v>0</v>
      </c>
      <c r="L23" s="17"/>
      <c r="M23" s="17">
        <v>24.37</v>
      </c>
      <c r="N23" s="17">
        <v>10</v>
      </c>
      <c r="O23" s="34">
        <f t="shared" si="4"/>
        <v>34.37</v>
      </c>
      <c r="Q23" s="35">
        <f t="shared" si="5"/>
        <v>0</v>
      </c>
      <c r="R23" s="35">
        <f t="shared" si="6"/>
        <v>0</v>
      </c>
      <c r="T23" s="7">
        <v>16</v>
      </c>
      <c r="U23" s="38">
        <f t="shared" si="10"/>
        <v>32</v>
      </c>
      <c r="V23" s="37"/>
      <c r="W23" s="37"/>
      <c r="X23" s="38">
        <f t="shared" si="11"/>
        <v>0</v>
      </c>
      <c r="Y23" s="37"/>
      <c r="Z23" s="37"/>
      <c r="AD23" s="7" t="s">
        <v>114</v>
      </c>
      <c r="AE23" s="7" t="s">
        <v>115</v>
      </c>
      <c r="AF23" s="7">
        <v>30</v>
      </c>
      <c r="AG23" s="7">
        <v>40</v>
      </c>
      <c r="AH23" s="7">
        <v>45</v>
      </c>
    </row>
    <row r="24" s="1" customFormat="1" ht="25" customHeight="1" spans="1:34">
      <c r="A24" s="22" t="s">
        <v>116</v>
      </c>
      <c r="B24" s="17" t="s">
        <v>117</v>
      </c>
      <c r="C24" s="9">
        <v>0</v>
      </c>
      <c r="D24" s="9">
        <v>0</v>
      </c>
      <c r="E24" s="27">
        <f t="shared" si="0"/>
        <v>0</v>
      </c>
      <c r="F24" s="29">
        <v>0.7</v>
      </c>
      <c r="G24" s="29">
        <v>1</v>
      </c>
      <c r="H24" s="26">
        <f>MAX(E24,F24)*1.375</f>
        <v>0.9625</v>
      </c>
      <c r="I24" s="26">
        <f t="shared" si="13"/>
        <v>1.375</v>
      </c>
      <c r="J24" s="26">
        <f t="shared" si="2"/>
        <v>0</v>
      </c>
      <c r="K24" s="26">
        <f t="shared" si="3"/>
        <v>0</v>
      </c>
      <c r="L24" s="17"/>
      <c r="M24" s="17">
        <v>24.37</v>
      </c>
      <c r="N24" s="17">
        <v>10</v>
      </c>
      <c r="O24" s="34">
        <f t="shared" si="4"/>
        <v>34.37</v>
      </c>
      <c r="Q24" s="35">
        <f t="shared" si="5"/>
        <v>0</v>
      </c>
      <c r="R24" s="35">
        <f t="shared" si="6"/>
        <v>0</v>
      </c>
      <c r="T24" s="7">
        <v>16</v>
      </c>
      <c r="U24" s="38">
        <f t="shared" si="10"/>
        <v>48</v>
      </c>
      <c r="V24" s="37"/>
      <c r="W24" s="37"/>
      <c r="X24" s="38">
        <f t="shared" si="11"/>
        <v>0</v>
      </c>
      <c r="Y24" s="37"/>
      <c r="Z24" s="37"/>
      <c r="AD24" s="7" t="s">
        <v>118</v>
      </c>
      <c r="AE24" s="7" t="s">
        <v>119</v>
      </c>
      <c r="AF24" s="7">
        <v>30</v>
      </c>
      <c r="AG24" s="7">
        <v>40</v>
      </c>
      <c r="AH24" s="7">
        <v>45</v>
      </c>
    </row>
    <row r="25" s="1" customFormat="1" ht="25" customHeight="1" spans="1:34">
      <c r="A25" s="19" t="s">
        <v>120</v>
      </c>
      <c r="B25" s="17" t="s">
        <v>121</v>
      </c>
      <c r="C25" s="9">
        <v>0</v>
      </c>
      <c r="D25" s="9">
        <v>0</v>
      </c>
      <c r="E25" s="27">
        <f t="shared" si="0"/>
        <v>0</v>
      </c>
      <c r="F25" s="29">
        <v>1.2</v>
      </c>
      <c r="G25" s="29">
        <v>1.4</v>
      </c>
      <c r="H25" s="26">
        <v>2.5</v>
      </c>
      <c r="I25" s="26">
        <f t="shared" si="13"/>
        <v>1.925</v>
      </c>
      <c r="J25" s="26">
        <f t="shared" si="2"/>
        <v>0</v>
      </c>
      <c r="K25" s="26">
        <f t="shared" si="3"/>
        <v>0</v>
      </c>
      <c r="L25" s="17"/>
      <c r="M25" s="17">
        <v>19.43</v>
      </c>
      <c r="N25" s="17">
        <v>6</v>
      </c>
      <c r="O25" s="34">
        <f t="shared" si="4"/>
        <v>25.43</v>
      </c>
      <c r="Q25" s="35">
        <f t="shared" si="5"/>
        <v>0</v>
      </c>
      <c r="R25" s="35">
        <f t="shared" si="6"/>
        <v>0</v>
      </c>
      <c r="T25" s="7">
        <v>20</v>
      </c>
      <c r="U25" s="38">
        <f t="shared" si="10"/>
        <v>60</v>
      </c>
      <c r="V25" s="37"/>
      <c r="W25" s="37"/>
      <c r="X25" s="38">
        <f t="shared" si="11"/>
        <v>0</v>
      </c>
      <c r="Y25" s="37"/>
      <c r="Z25" s="37"/>
      <c r="AD25" s="7" t="s">
        <v>122</v>
      </c>
      <c r="AE25" s="7" t="s">
        <v>123</v>
      </c>
      <c r="AF25" s="7">
        <v>25</v>
      </c>
      <c r="AG25" s="7">
        <v>37</v>
      </c>
      <c r="AH25" s="7">
        <v>40</v>
      </c>
    </row>
    <row r="26" s="1" customFormat="1" ht="25" customHeight="1" spans="1:34">
      <c r="A26" s="21" t="s">
        <v>124</v>
      </c>
      <c r="B26" s="17" t="s">
        <v>125</v>
      </c>
      <c r="C26" s="9">
        <v>0</v>
      </c>
      <c r="D26" s="9">
        <v>0</v>
      </c>
      <c r="E26" s="27">
        <f t="shared" si="0"/>
        <v>0</v>
      </c>
      <c r="F26" s="29">
        <v>0.7</v>
      </c>
      <c r="G26" s="29">
        <v>0.7</v>
      </c>
      <c r="H26" s="26">
        <v>4</v>
      </c>
      <c r="I26" s="26">
        <f t="shared" si="13"/>
        <v>0.9625</v>
      </c>
      <c r="J26" s="26">
        <f t="shared" si="2"/>
        <v>0</v>
      </c>
      <c r="K26" s="26">
        <f t="shared" si="3"/>
        <v>0</v>
      </c>
      <c r="L26" s="17"/>
      <c r="M26" s="17">
        <v>22.74</v>
      </c>
      <c r="N26" s="17">
        <v>6.98</v>
      </c>
      <c r="O26" s="34">
        <f t="shared" si="4"/>
        <v>29.72</v>
      </c>
      <c r="Q26" s="35">
        <f t="shared" si="5"/>
        <v>0</v>
      </c>
      <c r="R26" s="35">
        <f t="shared" si="6"/>
        <v>0</v>
      </c>
      <c r="T26" s="7">
        <v>21</v>
      </c>
      <c r="U26" s="38">
        <f t="shared" si="10"/>
        <v>42</v>
      </c>
      <c r="V26" s="37"/>
      <c r="W26" s="37"/>
      <c r="X26" s="38">
        <f t="shared" si="11"/>
        <v>0</v>
      </c>
      <c r="Y26" s="37"/>
      <c r="Z26" s="37"/>
      <c r="AD26" s="7" t="s">
        <v>126</v>
      </c>
      <c r="AE26" s="7" t="s">
        <v>127</v>
      </c>
      <c r="AF26" s="7">
        <v>30</v>
      </c>
      <c r="AG26" s="7">
        <v>40</v>
      </c>
      <c r="AH26" s="7">
        <v>45</v>
      </c>
    </row>
    <row r="27" s="1" customFormat="1" ht="25" customHeight="1" spans="1:34">
      <c r="A27" s="22" t="s">
        <v>128</v>
      </c>
      <c r="B27" s="11" t="s">
        <v>129</v>
      </c>
      <c r="C27" s="9">
        <v>0</v>
      </c>
      <c r="D27" s="9">
        <v>0</v>
      </c>
      <c r="E27" s="27">
        <f t="shared" si="0"/>
        <v>0</v>
      </c>
      <c r="F27" s="29">
        <v>1.5</v>
      </c>
      <c r="G27" s="29">
        <v>1.2</v>
      </c>
      <c r="H27" s="26">
        <f>MAX(E27,F27)*1.375</f>
        <v>2.0625</v>
      </c>
      <c r="I27" s="26">
        <f t="shared" si="13"/>
        <v>2.0625</v>
      </c>
      <c r="J27" s="26">
        <f t="shared" si="2"/>
        <v>0</v>
      </c>
      <c r="K27" s="26">
        <f t="shared" si="3"/>
        <v>0</v>
      </c>
      <c r="L27" s="17"/>
      <c r="M27" s="17">
        <v>24.37</v>
      </c>
      <c r="N27" s="17">
        <v>10</v>
      </c>
      <c r="O27" s="34">
        <f t="shared" si="4"/>
        <v>34.37</v>
      </c>
      <c r="Q27" s="35">
        <f t="shared" si="5"/>
        <v>0</v>
      </c>
      <c r="R27" s="35">
        <f t="shared" si="6"/>
        <v>0</v>
      </c>
      <c r="T27" s="7">
        <v>16</v>
      </c>
      <c r="U27" s="38">
        <f t="shared" si="10"/>
        <v>64</v>
      </c>
      <c r="V27" s="37"/>
      <c r="W27" s="37"/>
      <c r="X27" s="38">
        <f t="shared" si="11"/>
        <v>0</v>
      </c>
      <c r="Y27" s="37"/>
      <c r="Z27" s="37"/>
      <c r="AD27" s="7" t="s">
        <v>130</v>
      </c>
      <c r="AE27" s="7" t="s">
        <v>131</v>
      </c>
      <c r="AF27" s="7">
        <v>30</v>
      </c>
      <c r="AG27" s="7">
        <v>40</v>
      </c>
      <c r="AH27" s="7">
        <v>45</v>
      </c>
    </row>
    <row r="28" s="1" customFormat="1" ht="25" customHeight="1" spans="1:34">
      <c r="A28" s="14" t="s">
        <v>132</v>
      </c>
      <c r="B28" s="17" t="s">
        <v>133</v>
      </c>
      <c r="C28" s="9">
        <v>0</v>
      </c>
      <c r="D28" s="9">
        <v>0</v>
      </c>
      <c r="E28" s="27">
        <f t="shared" si="0"/>
        <v>0</v>
      </c>
      <c r="F28" s="28">
        <v>1.1</v>
      </c>
      <c r="G28" s="29">
        <v>0.5</v>
      </c>
      <c r="H28" s="26">
        <f>MAX(E28,F28)*1.375</f>
        <v>1.5125</v>
      </c>
      <c r="I28" s="26">
        <f t="shared" si="13"/>
        <v>1.5125</v>
      </c>
      <c r="J28" s="26">
        <f t="shared" si="2"/>
        <v>0</v>
      </c>
      <c r="K28" s="26">
        <f t="shared" si="3"/>
        <v>0</v>
      </c>
      <c r="L28" s="17"/>
      <c r="M28" s="17">
        <v>36.11</v>
      </c>
      <c r="N28" s="17">
        <v>13.38</v>
      </c>
      <c r="O28" s="34">
        <f t="shared" si="4"/>
        <v>49.49</v>
      </c>
      <c r="Q28" s="35">
        <f t="shared" si="5"/>
        <v>0</v>
      </c>
      <c r="R28" s="35">
        <f t="shared" si="6"/>
        <v>0</v>
      </c>
      <c r="T28" s="7">
        <v>12</v>
      </c>
      <c r="U28" s="38">
        <f t="shared" si="10"/>
        <v>48</v>
      </c>
      <c r="V28" s="37"/>
      <c r="W28" s="37"/>
      <c r="X28" s="38">
        <f t="shared" si="11"/>
        <v>0</v>
      </c>
      <c r="Y28" s="37"/>
      <c r="Z28" s="37"/>
      <c r="AD28" s="7" t="s">
        <v>134</v>
      </c>
      <c r="AE28" s="7" t="s">
        <v>135</v>
      </c>
      <c r="AF28" s="7">
        <v>30</v>
      </c>
      <c r="AG28" s="7">
        <v>40</v>
      </c>
      <c r="AH28" s="7">
        <v>45</v>
      </c>
    </row>
    <row r="29" s="1" customFormat="1" ht="25" customHeight="1" spans="1:34">
      <c r="A29" s="14" t="s">
        <v>136</v>
      </c>
      <c r="B29" s="17" t="s">
        <v>137</v>
      </c>
      <c r="C29" s="9">
        <v>0</v>
      </c>
      <c r="D29" s="9">
        <v>0</v>
      </c>
      <c r="E29" s="27">
        <f t="shared" si="0"/>
        <v>0</v>
      </c>
      <c r="F29" s="28">
        <v>0.8</v>
      </c>
      <c r="G29" s="29">
        <v>1</v>
      </c>
      <c r="H29" s="26">
        <f>MAX(E29,F29)*1.375</f>
        <v>1.1</v>
      </c>
      <c r="I29" s="26">
        <f t="shared" si="13"/>
        <v>1.375</v>
      </c>
      <c r="J29" s="26">
        <f t="shared" si="2"/>
        <v>0</v>
      </c>
      <c r="K29" s="26">
        <f t="shared" si="3"/>
        <v>0</v>
      </c>
      <c r="L29" s="17"/>
      <c r="M29" s="17">
        <v>24.37</v>
      </c>
      <c r="N29" s="17">
        <v>10</v>
      </c>
      <c r="O29" s="34">
        <f t="shared" si="4"/>
        <v>34.37</v>
      </c>
      <c r="Q29" s="35">
        <f t="shared" si="5"/>
        <v>0</v>
      </c>
      <c r="R29" s="35">
        <f t="shared" si="6"/>
        <v>0</v>
      </c>
      <c r="T29" s="7">
        <v>16</v>
      </c>
      <c r="U29" s="38">
        <f t="shared" si="10"/>
        <v>48</v>
      </c>
      <c r="V29" s="37"/>
      <c r="W29" s="37"/>
      <c r="X29" s="38">
        <f t="shared" si="11"/>
        <v>0</v>
      </c>
      <c r="Y29" s="37"/>
      <c r="Z29" s="37"/>
      <c r="AD29" s="7" t="s">
        <v>138</v>
      </c>
      <c r="AE29" s="7" t="s">
        <v>139</v>
      </c>
      <c r="AF29" s="7">
        <v>30</v>
      </c>
      <c r="AG29" s="7">
        <v>40</v>
      </c>
      <c r="AH29" s="7">
        <v>45</v>
      </c>
    </row>
    <row r="30" s="1" customFormat="1" ht="25" customHeight="1" spans="1:34">
      <c r="A30" s="15" t="s">
        <v>140</v>
      </c>
      <c r="B30" s="23" t="s">
        <v>141</v>
      </c>
      <c r="C30" s="9">
        <v>0</v>
      </c>
      <c r="D30" s="9">
        <v>0</v>
      </c>
      <c r="E30" s="30">
        <f t="shared" si="0"/>
        <v>0</v>
      </c>
      <c r="F30" s="31">
        <v>0.1</v>
      </c>
      <c r="G30" s="32">
        <v>0</v>
      </c>
      <c r="H30" s="26">
        <f>MAX(E30,F30)*1.375</f>
        <v>0.1375</v>
      </c>
      <c r="I30" s="26">
        <f t="shared" si="13"/>
        <v>0.1375</v>
      </c>
      <c r="J30" s="26">
        <f t="shared" si="2"/>
        <v>0</v>
      </c>
      <c r="K30" s="26">
        <f t="shared" si="3"/>
        <v>0</v>
      </c>
      <c r="L30" s="17"/>
      <c r="M30" s="17">
        <v>26.57</v>
      </c>
      <c r="N30" s="17">
        <v>10</v>
      </c>
      <c r="O30" s="34">
        <f t="shared" si="4"/>
        <v>36.57</v>
      </c>
      <c r="Q30" s="35">
        <f t="shared" si="5"/>
        <v>0</v>
      </c>
      <c r="R30" s="35">
        <f t="shared" si="6"/>
        <v>0</v>
      </c>
      <c r="T30" s="7">
        <v>16</v>
      </c>
      <c r="U30" s="38">
        <f t="shared" ref="U30:U44" si="14">CEILING(MAX(0,90-MAX(K30,60))*I30/T30,1)*T30</f>
        <v>16</v>
      </c>
      <c r="V30" s="37"/>
      <c r="W30" s="37"/>
      <c r="X30" s="38">
        <f t="shared" ref="X30:X44" si="15">MIN(CEILING(MAX(0,70-MAX(J30,30))*I30/T30,1)*T30,D30)</f>
        <v>0</v>
      </c>
      <c r="Y30" s="37"/>
      <c r="Z30" s="37"/>
      <c r="AD30" s="7" t="s">
        <v>142</v>
      </c>
      <c r="AE30" s="7" t="s">
        <v>143</v>
      </c>
      <c r="AF30" s="7">
        <v>30</v>
      </c>
      <c r="AG30" s="7">
        <v>40</v>
      </c>
      <c r="AH30" s="7">
        <v>45</v>
      </c>
    </row>
    <row r="31" ht="25" customHeight="1" spans="1:34">
      <c r="A31" s="15" t="s">
        <v>144</v>
      </c>
      <c r="B31" s="17" t="s">
        <v>145</v>
      </c>
      <c r="C31" s="9">
        <v>0</v>
      </c>
      <c r="D31" s="9">
        <v>0</v>
      </c>
      <c r="E31" s="30">
        <f t="shared" si="0"/>
        <v>0</v>
      </c>
      <c r="F31" s="28">
        <v>0.1</v>
      </c>
      <c r="G31" s="29">
        <v>0.1</v>
      </c>
      <c r="H31" s="26">
        <f>MAX(E31,F31)*1.375</f>
        <v>0.1375</v>
      </c>
      <c r="I31" s="26">
        <f t="shared" si="13"/>
        <v>0.1375</v>
      </c>
      <c r="J31" s="26">
        <f t="shared" si="2"/>
        <v>0</v>
      </c>
      <c r="K31" s="26">
        <f t="shared" si="3"/>
        <v>0</v>
      </c>
      <c r="L31" s="17"/>
      <c r="M31" s="17" t="s">
        <v>146</v>
      </c>
      <c r="N31" s="17" t="s">
        <v>147</v>
      </c>
      <c r="O31" s="34">
        <f t="shared" si="4"/>
        <v>30</v>
      </c>
      <c r="Q31" s="35">
        <f t="shared" si="5"/>
        <v>0</v>
      </c>
      <c r="R31" s="35">
        <f t="shared" si="6"/>
        <v>0</v>
      </c>
      <c r="T31" s="7">
        <v>30</v>
      </c>
      <c r="U31" s="38">
        <f t="shared" si="14"/>
        <v>30</v>
      </c>
      <c r="V31" s="37"/>
      <c r="W31" s="37"/>
      <c r="X31" s="38">
        <f t="shared" si="15"/>
        <v>0</v>
      </c>
      <c r="Y31" s="37"/>
      <c r="Z31" s="37"/>
      <c r="AD31" s="7" t="s">
        <v>148</v>
      </c>
      <c r="AE31" s="7" t="s">
        <v>149</v>
      </c>
      <c r="AF31" s="7">
        <v>55</v>
      </c>
      <c r="AG31" s="7">
        <v>46</v>
      </c>
      <c r="AH31" s="7">
        <v>35</v>
      </c>
    </row>
    <row r="32" ht="25" customHeight="1" spans="1:34">
      <c r="A32" s="14" t="s">
        <v>150</v>
      </c>
      <c r="B32" s="7" t="s">
        <v>151</v>
      </c>
      <c r="C32" s="9">
        <v>0</v>
      </c>
      <c r="D32" s="9">
        <v>0</v>
      </c>
      <c r="E32" s="30">
        <f t="shared" si="0"/>
        <v>0</v>
      </c>
      <c r="F32" s="7">
        <v>2.8</v>
      </c>
      <c r="G32" s="7">
        <v>2.5</v>
      </c>
      <c r="H32" s="26">
        <v>3.5</v>
      </c>
      <c r="I32" s="26">
        <f t="shared" si="13"/>
        <v>3.85</v>
      </c>
      <c r="J32" s="26">
        <f t="shared" si="2"/>
        <v>0</v>
      </c>
      <c r="K32" s="26">
        <f t="shared" si="3"/>
        <v>0</v>
      </c>
      <c r="L32" s="17"/>
      <c r="M32" s="17">
        <v>24.37</v>
      </c>
      <c r="N32" s="17">
        <v>10</v>
      </c>
      <c r="O32" s="34">
        <f t="shared" si="4"/>
        <v>34.37</v>
      </c>
      <c r="Q32" s="35">
        <f t="shared" si="5"/>
        <v>0</v>
      </c>
      <c r="R32" s="35">
        <f t="shared" si="6"/>
        <v>0</v>
      </c>
      <c r="T32" s="7">
        <v>16</v>
      </c>
      <c r="U32" s="38">
        <f t="shared" si="14"/>
        <v>128</v>
      </c>
      <c r="V32" s="37"/>
      <c r="W32" s="37"/>
      <c r="X32" s="38">
        <f t="shared" si="15"/>
        <v>0</v>
      </c>
      <c r="Y32" s="37"/>
      <c r="Z32" s="37"/>
      <c r="AD32" s="7" t="s">
        <v>152</v>
      </c>
      <c r="AE32" s="7" t="s">
        <v>153</v>
      </c>
      <c r="AF32" s="7">
        <v>30</v>
      </c>
      <c r="AG32" s="7">
        <v>40</v>
      </c>
      <c r="AH32" s="7">
        <v>45</v>
      </c>
    </row>
    <row r="33" ht="25" customHeight="1" spans="1:34">
      <c r="A33" s="18" t="s">
        <v>154</v>
      </c>
      <c r="B33" s="7" t="s">
        <v>155</v>
      </c>
      <c r="C33" s="9">
        <v>0</v>
      </c>
      <c r="D33" s="9">
        <v>0</v>
      </c>
      <c r="E33" s="30">
        <f t="shared" si="0"/>
        <v>0</v>
      </c>
      <c r="F33" s="7">
        <v>0.8</v>
      </c>
      <c r="G33" s="7">
        <v>0.4</v>
      </c>
      <c r="H33" s="26">
        <v>2</v>
      </c>
      <c r="I33" s="26">
        <f t="shared" si="13"/>
        <v>1.1</v>
      </c>
      <c r="J33" s="26">
        <f t="shared" si="2"/>
        <v>0</v>
      </c>
      <c r="K33" s="26">
        <f t="shared" si="3"/>
        <v>0</v>
      </c>
      <c r="L33" s="17"/>
      <c r="M33" s="17">
        <v>24.37</v>
      </c>
      <c r="N33" s="17">
        <v>10</v>
      </c>
      <c r="O33" s="34">
        <f t="shared" si="4"/>
        <v>34.37</v>
      </c>
      <c r="Q33" s="35">
        <f t="shared" si="5"/>
        <v>0</v>
      </c>
      <c r="R33" s="35">
        <f t="shared" si="6"/>
        <v>0</v>
      </c>
      <c r="T33" s="7">
        <v>16</v>
      </c>
      <c r="U33" s="38">
        <f t="shared" si="14"/>
        <v>48</v>
      </c>
      <c r="V33" s="37"/>
      <c r="W33" s="37"/>
      <c r="X33" s="38">
        <f t="shared" si="15"/>
        <v>0</v>
      </c>
      <c r="Y33" s="37"/>
      <c r="Z33" s="37"/>
      <c r="AD33" s="8" t="s">
        <v>156</v>
      </c>
      <c r="AE33" s="7" t="s">
        <v>157</v>
      </c>
      <c r="AF33" s="7">
        <v>30</v>
      </c>
      <c r="AG33" s="7">
        <v>40</v>
      </c>
      <c r="AH33" s="7">
        <v>45</v>
      </c>
    </row>
    <row r="34" ht="25" customHeight="1" spans="1:34">
      <c r="A34" s="7" t="s">
        <v>158</v>
      </c>
      <c r="B34" s="7" t="s">
        <v>159</v>
      </c>
      <c r="C34" s="9">
        <v>0</v>
      </c>
      <c r="D34" s="9">
        <v>0</v>
      </c>
      <c r="E34" s="30">
        <f t="shared" si="0"/>
        <v>0</v>
      </c>
      <c r="F34" s="7">
        <v>1.1</v>
      </c>
      <c r="G34" s="7">
        <v>1.1</v>
      </c>
      <c r="H34" s="26">
        <v>3</v>
      </c>
      <c r="I34" s="26">
        <f t="shared" si="13"/>
        <v>1.5125</v>
      </c>
      <c r="J34" s="26">
        <f t="shared" si="2"/>
        <v>0</v>
      </c>
      <c r="K34" s="26">
        <f t="shared" si="3"/>
        <v>0</v>
      </c>
      <c r="L34" s="17"/>
      <c r="M34" s="17">
        <v>26.57</v>
      </c>
      <c r="N34" s="17">
        <v>10</v>
      </c>
      <c r="O34" s="34">
        <f t="shared" si="4"/>
        <v>36.57</v>
      </c>
      <c r="Q34" s="35">
        <f t="shared" si="5"/>
        <v>0</v>
      </c>
      <c r="R34" s="35">
        <f t="shared" si="6"/>
        <v>0</v>
      </c>
      <c r="T34" s="7">
        <v>32</v>
      </c>
      <c r="U34" s="38">
        <f t="shared" si="14"/>
        <v>64</v>
      </c>
      <c r="V34" s="37"/>
      <c r="W34" s="37"/>
      <c r="X34" s="38">
        <f t="shared" si="15"/>
        <v>0</v>
      </c>
      <c r="Y34" s="37"/>
      <c r="Z34" s="37"/>
      <c r="AD34" s="7" t="s">
        <v>160</v>
      </c>
      <c r="AE34" s="7" t="s">
        <v>161</v>
      </c>
      <c r="AF34" s="7">
        <v>60</v>
      </c>
      <c r="AG34" s="7">
        <v>40</v>
      </c>
      <c r="AH34" s="7">
        <v>45</v>
      </c>
    </row>
    <row r="35" ht="25" customHeight="1" spans="1:34">
      <c r="A35" s="7" t="s">
        <v>162</v>
      </c>
      <c r="B35" s="7" t="s">
        <v>163</v>
      </c>
      <c r="C35" s="9">
        <v>0</v>
      </c>
      <c r="D35" s="9">
        <v>0</v>
      </c>
      <c r="E35" s="30">
        <f t="shared" si="0"/>
        <v>0</v>
      </c>
      <c r="F35" s="7">
        <v>2.2</v>
      </c>
      <c r="G35" s="7">
        <v>2.2</v>
      </c>
      <c r="H35" s="26">
        <v>4.5</v>
      </c>
      <c r="I35" s="26">
        <f t="shared" si="13"/>
        <v>3.025</v>
      </c>
      <c r="J35" s="26">
        <f t="shared" si="2"/>
        <v>0</v>
      </c>
      <c r="K35" s="26">
        <f t="shared" si="3"/>
        <v>0</v>
      </c>
      <c r="L35" s="17"/>
      <c r="M35" s="17" t="s">
        <v>164</v>
      </c>
      <c r="N35" s="17" t="s">
        <v>165</v>
      </c>
      <c r="O35" s="34">
        <f t="shared" si="4"/>
        <v>19</v>
      </c>
      <c r="Q35" s="35">
        <f t="shared" si="5"/>
        <v>0</v>
      </c>
      <c r="R35" s="35">
        <f t="shared" si="6"/>
        <v>0</v>
      </c>
      <c r="T35" s="7">
        <v>32</v>
      </c>
      <c r="U35" s="38">
        <f t="shared" si="14"/>
        <v>96</v>
      </c>
      <c r="V35" s="37"/>
      <c r="W35" s="37"/>
      <c r="X35" s="38">
        <f t="shared" si="15"/>
        <v>0</v>
      </c>
      <c r="Y35" s="37"/>
      <c r="Z35" s="37"/>
      <c r="AD35" s="7" t="s">
        <v>166</v>
      </c>
      <c r="AE35" s="7" t="s">
        <v>167</v>
      </c>
      <c r="AF35" s="7">
        <v>30</v>
      </c>
      <c r="AG35" s="7">
        <v>40</v>
      </c>
      <c r="AH35" s="7">
        <v>45</v>
      </c>
    </row>
    <row r="36" ht="25" customHeight="1" spans="1:34">
      <c r="A36" s="18" t="s">
        <v>168</v>
      </c>
      <c r="B36" s="7" t="s">
        <v>169</v>
      </c>
      <c r="C36" s="9">
        <v>0</v>
      </c>
      <c r="D36" s="9">
        <v>0</v>
      </c>
      <c r="E36" s="30">
        <f t="shared" si="0"/>
        <v>0</v>
      </c>
      <c r="F36" s="7">
        <v>0.7</v>
      </c>
      <c r="G36" s="7">
        <v>0.6</v>
      </c>
      <c r="H36" s="26">
        <v>1</v>
      </c>
      <c r="I36" s="26">
        <f t="shared" si="13"/>
        <v>0.9625</v>
      </c>
      <c r="J36" s="26">
        <f t="shared" si="2"/>
        <v>0</v>
      </c>
      <c r="K36" s="26">
        <f t="shared" si="3"/>
        <v>0</v>
      </c>
      <c r="L36" s="17"/>
      <c r="M36" s="17">
        <v>24.37</v>
      </c>
      <c r="N36" s="17">
        <v>10</v>
      </c>
      <c r="O36" s="34">
        <f t="shared" si="4"/>
        <v>34.37</v>
      </c>
      <c r="Q36" s="35">
        <f t="shared" si="5"/>
        <v>0</v>
      </c>
      <c r="R36" s="35">
        <f t="shared" si="6"/>
        <v>0</v>
      </c>
      <c r="T36" s="7">
        <v>16</v>
      </c>
      <c r="U36" s="38">
        <f t="shared" si="14"/>
        <v>32</v>
      </c>
      <c r="V36" s="37"/>
      <c r="W36" s="37"/>
      <c r="X36" s="38">
        <f t="shared" si="15"/>
        <v>0</v>
      </c>
      <c r="Y36" s="37"/>
      <c r="Z36" s="37"/>
      <c r="AD36" s="7" t="s">
        <v>170</v>
      </c>
      <c r="AE36" s="7" t="s">
        <v>171</v>
      </c>
      <c r="AF36" s="7">
        <v>30</v>
      </c>
      <c r="AG36" s="7">
        <v>40</v>
      </c>
      <c r="AH36" s="7">
        <v>45</v>
      </c>
    </row>
    <row r="37" ht="25" customHeight="1" spans="1:34">
      <c r="A37" s="14" t="s">
        <v>172</v>
      </c>
      <c r="B37" s="7" t="s">
        <v>173</v>
      </c>
      <c r="C37" s="9">
        <v>0</v>
      </c>
      <c r="D37" s="9">
        <v>0</v>
      </c>
      <c r="E37" s="30">
        <f t="shared" si="0"/>
        <v>0</v>
      </c>
      <c r="F37" s="7">
        <v>0.5</v>
      </c>
      <c r="G37" s="7">
        <v>0.5</v>
      </c>
      <c r="H37" s="26">
        <v>1</v>
      </c>
      <c r="I37" s="26">
        <f t="shared" si="13"/>
        <v>0.6875</v>
      </c>
      <c r="J37" s="26">
        <f t="shared" si="2"/>
        <v>0</v>
      </c>
      <c r="K37" s="26">
        <f t="shared" si="3"/>
        <v>0</v>
      </c>
      <c r="L37" s="17"/>
      <c r="M37" s="17">
        <v>24.37</v>
      </c>
      <c r="N37" s="17">
        <v>10</v>
      </c>
      <c r="O37" s="34">
        <f t="shared" si="4"/>
        <v>34.37</v>
      </c>
      <c r="Q37" s="35">
        <f t="shared" si="5"/>
        <v>0</v>
      </c>
      <c r="R37" s="35">
        <f t="shared" si="6"/>
        <v>0</v>
      </c>
      <c r="T37" s="7">
        <v>16</v>
      </c>
      <c r="U37" s="38">
        <f t="shared" si="14"/>
        <v>32</v>
      </c>
      <c r="V37" s="37"/>
      <c r="W37" s="37"/>
      <c r="X37" s="38">
        <f t="shared" si="15"/>
        <v>0</v>
      </c>
      <c r="Y37" s="37"/>
      <c r="Z37" s="37"/>
      <c r="AD37" s="8" t="s">
        <v>174</v>
      </c>
      <c r="AE37" s="7" t="s">
        <v>175</v>
      </c>
      <c r="AF37" s="7">
        <v>30</v>
      </c>
      <c r="AG37" s="7">
        <v>40</v>
      </c>
      <c r="AH37" s="7">
        <v>45</v>
      </c>
    </row>
    <row r="38" ht="25" customHeight="1" spans="1:34">
      <c r="A38" s="14" t="s">
        <v>176</v>
      </c>
      <c r="B38" s="7" t="s">
        <v>177</v>
      </c>
      <c r="C38" s="9">
        <v>0</v>
      </c>
      <c r="D38" s="9">
        <v>0</v>
      </c>
      <c r="E38" s="27">
        <f t="shared" si="0"/>
        <v>0</v>
      </c>
      <c r="F38" s="7">
        <v>2.5</v>
      </c>
      <c r="G38" s="7">
        <v>1</v>
      </c>
      <c r="H38" s="26">
        <v>3.5</v>
      </c>
      <c r="I38" s="26">
        <f t="shared" si="13"/>
        <v>3.4375</v>
      </c>
      <c r="J38" s="26">
        <f t="shared" si="2"/>
        <v>0</v>
      </c>
      <c r="K38" s="26">
        <f t="shared" si="3"/>
        <v>0</v>
      </c>
      <c r="L38" s="17"/>
      <c r="M38" s="17">
        <v>24.37</v>
      </c>
      <c r="N38" s="17">
        <v>10</v>
      </c>
      <c r="O38" s="34">
        <f t="shared" si="4"/>
        <v>34.37</v>
      </c>
      <c r="Q38" s="35">
        <f t="shared" si="5"/>
        <v>0</v>
      </c>
      <c r="R38" s="35">
        <f t="shared" si="6"/>
        <v>0</v>
      </c>
      <c r="T38" s="7">
        <v>16</v>
      </c>
      <c r="U38" s="38">
        <f t="shared" si="14"/>
        <v>112</v>
      </c>
      <c r="V38" s="37"/>
      <c r="W38" s="37"/>
      <c r="X38" s="38">
        <f t="shared" si="15"/>
        <v>0</v>
      </c>
      <c r="Y38" s="37"/>
      <c r="Z38" s="37"/>
      <c r="AD38" s="7" t="s">
        <v>178</v>
      </c>
      <c r="AE38" s="7" t="s">
        <v>179</v>
      </c>
      <c r="AF38" s="7">
        <v>30</v>
      </c>
      <c r="AG38" s="7">
        <v>40</v>
      </c>
      <c r="AH38" s="7">
        <v>45</v>
      </c>
    </row>
    <row r="39" ht="25" customHeight="1" spans="1:34">
      <c r="A39" s="7" t="s">
        <v>180</v>
      </c>
      <c r="B39" s="7" t="s">
        <v>181</v>
      </c>
      <c r="C39" s="9">
        <v>0</v>
      </c>
      <c r="D39" s="9">
        <v>0</v>
      </c>
      <c r="E39" s="27">
        <f t="shared" si="0"/>
        <v>0</v>
      </c>
      <c r="F39" s="7">
        <v>0.4</v>
      </c>
      <c r="G39" s="7">
        <v>0.3</v>
      </c>
      <c r="H39" s="26">
        <f t="shared" ref="H39:H51" si="16">MAX(E39,F39)*1.375</f>
        <v>0.55</v>
      </c>
      <c r="I39" s="26">
        <f t="shared" si="13"/>
        <v>0.55</v>
      </c>
      <c r="J39" s="26">
        <f t="shared" si="2"/>
        <v>0</v>
      </c>
      <c r="K39" s="26">
        <f t="shared" si="3"/>
        <v>0</v>
      </c>
      <c r="L39" s="17"/>
      <c r="M39" s="17" t="s">
        <v>182</v>
      </c>
      <c r="N39" s="17" t="s">
        <v>183</v>
      </c>
      <c r="O39" s="34">
        <f t="shared" si="4"/>
        <v>30.8</v>
      </c>
      <c r="Q39" s="35">
        <f t="shared" si="5"/>
        <v>0</v>
      </c>
      <c r="R39" s="35">
        <f t="shared" si="6"/>
        <v>0</v>
      </c>
      <c r="T39" s="7">
        <v>20</v>
      </c>
      <c r="U39" s="38">
        <f t="shared" si="14"/>
        <v>20</v>
      </c>
      <c r="V39" s="37"/>
      <c r="W39" s="37"/>
      <c r="X39" s="38">
        <f t="shared" si="15"/>
        <v>0</v>
      </c>
      <c r="Y39" s="37"/>
      <c r="Z39" s="37"/>
      <c r="AD39" s="7" t="s">
        <v>184</v>
      </c>
      <c r="AE39" s="7" t="s">
        <v>185</v>
      </c>
      <c r="AF39" s="7">
        <v>65</v>
      </c>
      <c r="AG39" s="7">
        <v>45</v>
      </c>
      <c r="AH39" s="7">
        <v>35</v>
      </c>
    </row>
    <row r="40" ht="25" customHeight="1" spans="1:34">
      <c r="A40" s="7" t="s">
        <v>186</v>
      </c>
      <c r="B40" s="7" t="s">
        <v>187</v>
      </c>
      <c r="C40" s="9">
        <v>0</v>
      </c>
      <c r="D40" s="9">
        <v>0</v>
      </c>
      <c r="E40" s="27">
        <f t="shared" si="0"/>
        <v>0</v>
      </c>
      <c r="F40" s="7">
        <v>0</v>
      </c>
      <c r="G40" s="7">
        <v>0.1</v>
      </c>
      <c r="H40" s="26">
        <f t="shared" si="16"/>
        <v>0</v>
      </c>
      <c r="I40" s="26">
        <f t="shared" si="13"/>
        <v>0.1375</v>
      </c>
      <c r="J40" s="26">
        <f t="shared" si="2"/>
        <v>0</v>
      </c>
      <c r="K40" s="26">
        <f t="shared" si="3"/>
        <v>0</v>
      </c>
      <c r="L40" s="17"/>
      <c r="M40" s="17" t="s">
        <v>146</v>
      </c>
      <c r="N40" s="17" t="s">
        <v>183</v>
      </c>
      <c r="O40" s="34">
        <f t="shared" si="4"/>
        <v>32.8</v>
      </c>
      <c r="Q40" s="35">
        <f t="shared" si="5"/>
        <v>0</v>
      </c>
      <c r="R40" s="35">
        <f t="shared" si="6"/>
        <v>0</v>
      </c>
      <c r="T40" s="7">
        <v>20</v>
      </c>
      <c r="U40" s="38">
        <f t="shared" si="14"/>
        <v>20</v>
      </c>
      <c r="V40" s="37"/>
      <c r="W40" s="37"/>
      <c r="X40" s="38">
        <f t="shared" si="15"/>
        <v>0</v>
      </c>
      <c r="Y40" s="37"/>
      <c r="Z40" s="37"/>
      <c r="AD40" s="7" t="s">
        <v>188</v>
      </c>
      <c r="AE40" s="7" t="s">
        <v>189</v>
      </c>
      <c r="AF40" s="7">
        <v>65</v>
      </c>
      <c r="AG40" s="7">
        <v>45</v>
      </c>
      <c r="AH40" s="7">
        <v>35</v>
      </c>
    </row>
    <row r="41" ht="25" customHeight="1" spans="1:34">
      <c r="A41" s="15" t="s">
        <v>190</v>
      </c>
      <c r="B41" s="7" t="s">
        <v>191</v>
      </c>
      <c r="C41" s="9">
        <v>0</v>
      </c>
      <c r="D41" s="9">
        <v>0</v>
      </c>
      <c r="E41" s="27">
        <f t="shared" si="0"/>
        <v>0</v>
      </c>
      <c r="F41" s="7">
        <v>0</v>
      </c>
      <c r="G41" s="7">
        <v>0</v>
      </c>
      <c r="H41" s="26">
        <f t="shared" si="16"/>
        <v>0</v>
      </c>
      <c r="I41" s="26">
        <v>1</v>
      </c>
      <c r="J41" s="26">
        <f t="shared" si="2"/>
        <v>0</v>
      </c>
      <c r="K41" s="26">
        <f t="shared" si="3"/>
        <v>0</v>
      </c>
      <c r="M41" s="17">
        <v>26.57</v>
      </c>
      <c r="N41" s="17">
        <v>10</v>
      </c>
      <c r="O41" s="34">
        <f t="shared" si="4"/>
        <v>36.57</v>
      </c>
      <c r="Q41" s="35">
        <f t="shared" si="5"/>
        <v>0</v>
      </c>
      <c r="R41" s="35">
        <f t="shared" si="6"/>
        <v>0</v>
      </c>
      <c r="T41" s="7">
        <v>16</v>
      </c>
      <c r="U41" s="38">
        <f t="shared" si="14"/>
        <v>32</v>
      </c>
      <c r="V41" s="37"/>
      <c r="W41" s="37"/>
      <c r="X41" s="38">
        <f t="shared" si="15"/>
        <v>0</v>
      </c>
      <c r="Y41" s="37"/>
      <c r="Z41" s="37"/>
      <c r="AD41" s="7" t="s">
        <v>192</v>
      </c>
      <c r="AE41" s="7" t="s">
        <v>193</v>
      </c>
      <c r="AF41" s="7">
        <v>30</v>
      </c>
      <c r="AG41" s="7">
        <v>40</v>
      </c>
      <c r="AH41" s="7">
        <v>45</v>
      </c>
    </row>
    <row r="42" ht="25" customHeight="1" spans="1:34">
      <c r="A42" s="15" t="s">
        <v>194</v>
      </c>
      <c r="B42" s="7" t="s">
        <v>195</v>
      </c>
      <c r="C42" s="9">
        <v>0</v>
      </c>
      <c r="D42" s="9">
        <v>0</v>
      </c>
      <c r="E42" s="27">
        <f t="shared" si="0"/>
        <v>0</v>
      </c>
      <c r="F42" s="7">
        <v>0</v>
      </c>
      <c r="G42" s="7">
        <v>0</v>
      </c>
      <c r="H42" s="26">
        <f t="shared" si="16"/>
        <v>0</v>
      </c>
      <c r="I42" s="26">
        <v>1</v>
      </c>
      <c r="J42" s="26">
        <f t="shared" si="2"/>
        <v>0</v>
      </c>
      <c r="K42" s="26">
        <f t="shared" si="3"/>
        <v>0</v>
      </c>
      <c r="M42" s="17">
        <v>26.57</v>
      </c>
      <c r="N42" s="17">
        <v>10</v>
      </c>
      <c r="O42" s="34">
        <f t="shared" si="4"/>
        <v>36.57</v>
      </c>
      <c r="Q42" s="35">
        <f t="shared" si="5"/>
        <v>0</v>
      </c>
      <c r="R42" s="35">
        <f t="shared" si="6"/>
        <v>0</v>
      </c>
      <c r="T42" s="7">
        <v>16</v>
      </c>
      <c r="U42" s="38">
        <f t="shared" si="14"/>
        <v>32</v>
      </c>
      <c r="V42" s="37"/>
      <c r="W42" s="37"/>
      <c r="X42" s="38">
        <f t="shared" si="15"/>
        <v>0</v>
      </c>
      <c r="Y42" s="37"/>
      <c r="Z42" s="37"/>
      <c r="AD42" s="7" t="s">
        <v>196</v>
      </c>
      <c r="AE42" s="7" t="s">
        <v>197</v>
      </c>
      <c r="AF42" s="7">
        <v>30</v>
      </c>
      <c r="AG42" s="7">
        <v>40</v>
      </c>
      <c r="AH42" s="7">
        <v>45</v>
      </c>
    </row>
    <row r="43" ht="25" customHeight="1" spans="1:34">
      <c r="A43" s="15" t="s">
        <v>198</v>
      </c>
      <c r="B43" s="7" t="s">
        <v>199</v>
      </c>
      <c r="C43" s="9">
        <v>0</v>
      </c>
      <c r="D43" s="9">
        <v>0</v>
      </c>
      <c r="E43" s="27">
        <f t="shared" si="0"/>
        <v>0</v>
      </c>
      <c r="F43" s="7">
        <v>0</v>
      </c>
      <c r="G43" s="7">
        <v>0</v>
      </c>
      <c r="H43" s="26">
        <f t="shared" si="16"/>
        <v>0</v>
      </c>
      <c r="I43" s="26">
        <v>1</v>
      </c>
      <c r="J43" s="26">
        <f t="shared" si="2"/>
        <v>0</v>
      </c>
      <c r="K43" s="26">
        <f t="shared" si="3"/>
        <v>0</v>
      </c>
      <c r="M43" s="7">
        <v>13.3</v>
      </c>
      <c r="N43" s="7">
        <v>5</v>
      </c>
      <c r="O43" s="34">
        <f t="shared" si="4"/>
        <v>18.3</v>
      </c>
      <c r="Q43" s="35">
        <f t="shared" si="5"/>
        <v>0</v>
      </c>
      <c r="R43" s="35">
        <f t="shared" si="6"/>
        <v>0</v>
      </c>
      <c r="T43" s="7">
        <v>32</v>
      </c>
      <c r="U43" s="38">
        <f t="shared" si="14"/>
        <v>32</v>
      </c>
      <c r="V43" s="37"/>
      <c r="W43" s="37"/>
      <c r="X43" s="38">
        <f t="shared" si="15"/>
        <v>0</v>
      </c>
      <c r="Y43" s="37"/>
      <c r="Z43" s="37"/>
      <c r="AD43" s="7" t="s">
        <v>200</v>
      </c>
      <c r="AE43" s="7" t="s">
        <v>201</v>
      </c>
      <c r="AF43" s="7">
        <v>30</v>
      </c>
      <c r="AG43" s="7">
        <v>40</v>
      </c>
      <c r="AH43" s="7">
        <v>45</v>
      </c>
    </row>
    <row r="44" ht="25" customHeight="1" spans="1:34">
      <c r="A44" s="10" t="s">
        <v>202</v>
      </c>
      <c r="B44" s="7" t="s">
        <v>203</v>
      </c>
      <c r="C44" s="9">
        <v>0</v>
      </c>
      <c r="D44" s="9">
        <v>0</v>
      </c>
      <c r="E44" s="27">
        <f t="shared" si="0"/>
        <v>0</v>
      </c>
      <c r="F44" s="7">
        <v>0</v>
      </c>
      <c r="G44" s="7">
        <v>0</v>
      </c>
      <c r="H44" s="26">
        <f t="shared" si="16"/>
        <v>0</v>
      </c>
      <c r="I44" s="26">
        <v>1</v>
      </c>
      <c r="J44" s="26">
        <f t="shared" si="2"/>
        <v>0</v>
      </c>
      <c r="K44" s="26">
        <f t="shared" si="3"/>
        <v>0</v>
      </c>
      <c r="M44" s="7">
        <v>10</v>
      </c>
      <c r="N44" s="7">
        <v>3</v>
      </c>
      <c r="O44" s="34">
        <f t="shared" si="4"/>
        <v>13</v>
      </c>
      <c r="Q44" s="35">
        <f t="shared" si="5"/>
        <v>0</v>
      </c>
      <c r="R44" s="35">
        <f t="shared" si="6"/>
        <v>0</v>
      </c>
      <c r="T44" s="7">
        <v>40</v>
      </c>
      <c r="U44" s="38">
        <f t="shared" si="14"/>
        <v>40</v>
      </c>
      <c r="V44" s="37"/>
      <c r="W44" s="37"/>
      <c r="X44" s="38">
        <f t="shared" si="15"/>
        <v>0</v>
      </c>
      <c r="Y44" s="37"/>
      <c r="Z44" s="37"/>
      <c r="AD44" s="7" t="s">
        <v>204</v>
      </c>
      <c r="AE44" s="7" t="s">
        <v>205</v>
      </c>
      <c r="AF44" s="7">
        <v>25</v>
      </c>
      <c r="AG44" s="7">
        <v>37</v>
      </c>
      <c r="AH44" s="7">
        <v>40</v>
      </c>
    </row>
    <row r="45" ht="25" customHeight="1" spans="1:34">
      <c r="A45" s="7" t="s">
        <v>206</v>
      </c>
      <c r="B45" s="7" t="s">
        <v>207</v>
      </c>
      <c r="C45" s="9">
        <v>0</v>
      </c>
      <c r="D45" s="9">
        <v>0</v>
      </c>
      <c r="E45" s="27">
        <f t="shared" si="0"/>
        <v>0</v>
      </c>
      <c r="F45" s="7">
        <v>0</v>
      </c>
      <c r="G45" s="7">
        <v>0</v>
      </c>
      <c r="H45" s="26">
        <f t="shared" si="16"/>
        <v>0</v>
      </c>
      <c r="I45" s="26">
        <v>1</v>
      </c>
      <c r="J45" s="26">
        <f t="shared" si="2"/>
        <v>0</v>
      </c>
      <c r="K45" s="26">
        <f t="shared" si="3"/>
        <v>0</v>
      </c>
      <c r="M45" s="7">
        <v>39</v>
      </c>
      <c r="N45" s="7">
        <v>12</v>
      </c>
      <c r="O45" s="34">
        <f t="shared" si="4"/>
        <v>51</v>
      </c>
      <c r="Q45" s="35">
        <f t="shared" ref="Q45:Q62" si="17">M45*C45</f>
        <v>0</v>
      </c>
      <c r="R45" s="35">
        <f t="shared" ref="R45:R62" si="18">M45*D45</f>
        <v>0</v>
      </c>
      <c r="T45" s="7">
        <v>18</v>
      </c>
      <c r="U45" s="38">
        <f t="shared" ref="U45:U55" si="19">CEILING(MAX(0,90-MAX(K45,60))*I45/T45,1)*T45</f>
        <v>36</v>
      </c>
      <c r="V45" s="37"/>
      <c r="W45" s="37"/>
      <c r="X45" s="38">
        <f t="shared" ref="X45:X55" si="20">MIN(CEILING(MAX(0,70-MAX(J45,30))*I45/T45,1)*T45,D45)</f>
        <v>0</v>
      </c>
      <c r="Y45" s="37"/>
      <c r="Z45" s="37"/>
      <c r="AD45" s="7" t="s">
        <v>208</v>
      </c>
      <c r="AE45" s="7" t="s">
        <v>209</v>
      </c>
      <c r="AF45" s="7">
        <v>25</v>
      </c>
      <c r="AG45" s="7">
        <v>37</v>
      </c>
      <c r="AH45" s="7">
        <v>40</v>
      </c>
    </row>
    <row r="46" ht="25" customHeight="1" spans="1:34">
      <c r="A46" s="7" t="s">
        <v>210</v>
      </c>
      <c r="B46" s="7" t="s">
        <v>211</v>
      </c>
      <c r="C46" s="9">
        <v>0</v>
      </c>
      <c r="D46" s="9">
        <v>0</v>
      </c>
      <c r="E46" s="27">
        <f t="shared" si="0"/>
        <v>0</v>
      </c>
      <c r="F46" s="7">
        <v>0</v>
      </c>
      <c r="G46" s="7">
        <v>0</v>
      </c>
      <c r="H46" s="26">
        <f t="shared" si="16"/>
        <v>0</v>
      </c>
      <c r="I46" s="26">
        <v>1</v>
      </c>
      <c r="J46" s="26">
        <f t="shared" si="2"/>
        <v>0</v>
      </c>
      <c r="K46" s="26">
        <f t="shared" si="3"/>
        <v>0</v>
      </c>
      <c r="M46" s="7">
        <v>19.5</v>
      </c>
      <c r="N46" s="17">
        <v>6</v>
      </c>
      <c r="O46" s="34">
        <f t="shared" ref="O46:O62" si="21">M46+N46</f>
        <v>25.5</v>
      </c>
      <c r="Q46" s="35">
        <f t="shared" si="17"/>
        <v>0</v>
      </c>
      <c r="R46" s="35">
        <f t="shared" si="18"/>
        <v>0</v>
      </c>
      <c r="T46" s="7">
        <v>20</v>
      </c>
      <c r="U46" s="38">
        <f t="shared" si="19"/>
        <v>40</v>
      </c>
      <c r="V46" s="37"/>
      <c r="W46" s="37"/>
      <c r="X46" s="38">
        <f t="shared" si="20"/>
        <v>0</v>
      </c>
      <c r="Y46" s="37"/>
      <c r="Z46" s="37"/>
      <c r="AD46" s="7" t="s">
        <v>212</v>
      </c>
      <c r="AE46" s="7" t="s">
        <v>213</v>
      </c>
      <c r="AF46" s="7">
        <v>25</v>
      </c>
      <c r="AG46" s="7">
        <v>37</v>
      </c>
      <c r="AH46" s="7">
        <v>40</v>
      </c>
    </row>
    <row r="47" ht="25" customHeight="1" spans="1:34">
      <c r="A47" s="7" t="s">
        <v>214</v>
      </c>
      <c r="B47" s="7" t="s">
        <v>215</v>
      </c>
      <c r="C47" s="9">
        <v>0</v>
      </c>
      <c r="D47" s="9">
        <v>0</v>
      </c>
      <c r="E47" s="27">
        <f t="shared" si="0"/>
        <v>0</v>
      </c>
      <c r="F47" s="7">
        <v>0</v>
      </c>
      <c r="G47" s="7">
        <v>0</v>
      </c>
      <c r="H47" s="26">
        <f t="shared" si="16"/>
        <v>0</v>
      </c>
      <c r="I47" s="26">
        <v>1</v>
      </c>
      <c r="J47" s="26">
        <f t="shared" si="2"/>
        <v>0</v>
      </c>
      <c r="K47" s="26">
        <f t="shared" si="3"/>
        <v>0</v>
      </c>
      <c r="M47" s="7">
        <v>19.5</v>
      </c>
      <c r="N47" s="17">
        <v>6</v>
      </c>
      <c r="O47" s="34">
        <f t="shared" si="21"/>
        <v>25.5</v>
      </c>
      <c r="Q47" s="35">
        <f t="shared" si="17"/>
        <v>0</v>
      </c>
      <c r="R47" s="35">
        <f t="shared" si="18"/>
        <v>0</v>
      </c>
      <c r="T47" s="7">
        <v>20</v>
      </c>
      <c r="U47" s="38">
        <f t="shared" si="19"/>
        <v>40</v>
      </c>
      <c r="V47" s="37"/>
      <c r="W47" s="37"/>
      <c r="X47" s="38">
        <f t="shared" si="20"/>
        <v>0</v>
      </c>
      <c r="Y47" s="37"/>
      <c r="Z47" s="37"/>
      <c r="AD47" s="7" t="s">
        <v>216</v>
      </c>
      <c r="AE47" s="7" t="s">
        <v>217</v>
      </c>
      <c r="AF47" s="7">
        <v>25</v>
      </c>
      <c r="AG47" s="7">
        <v>37</v>
      </c>
      <c r="AH47" s="7">
        <v>40</v>
      </c>
    </row>
    <row r="48" ht="25" customHeight="1" spans="1:34">
      <c r="A48" s="7" t="s">
        <v>218</v>
      </c>
      <c r="B48" s="7" t="s">
        <v>219</v>
      </c>
      <c r="C48" s="9">
        <v>0</v>
      </c>
      <c r="D48" s="9">
        <v>0</v>
      </c>
      <c r="E48" s="27">
        <f t="shared" si="0"/>
        <v>0</v>
      </c>
      <c r="F48" s="7">
        <v>0</v>
      </c>
      <c r="G48" s="7">
        <v>0</v>
      </c>
      <c r="H48" s="26">
        <f t="shared" si="16"/>
        <v>0</v>
      </c>
      <c r="I48" s="26">
        <v>1</v>
      </c>
      <c r="J48" s="26">
        <f t="shared" si="2"/>
        <v>0</v>
      </c>
      <c r="K48" s="26">
        <f t="shared" si="3"/>
        <v>0</v>
      </c>
      <c r="M48" s="7">
        <v>19.5</v>
      </c>
      <c r="N48" s="17">
        <v>6</v>
      </c>
      <c r="O48" s="34">
        <f t="shared" si="21"/>
        <v>25.5</v>
      </c>
      <c r="Q48" s="35">
        <f t="shared" si="17"/>
        <v>0</v>
      </c>
      <c r="R48" s="35">
        <f t="shared" si="18"/>
        <v>0</v>
      </c>
      <c r="T48" s="7">
        <v>20</v>
      </c>
      <c r="U48" s="38">
        <f t="shared" si="19"/>
        <v>40</v>
      </c>
      <c r="V48" s="37"/>
      <c r="W48" s="37"/>
      <c r="X48" s="38">
        <f t="shared" si="20"/>
        <v>0</v>
      </c>
      <c r="Y48" s="37"/>
      <c r="Z48" s="37"/>
      <c r="AD48" s="7" t="s">
        <v>220</v>
      </c>
      <c r="AE48" s="7" t="s">
        <v>221</v>
      </c>
      <c r="AF48" s="7">
        <v>50</v>
      </c>
      <c r="AG48" s="7">
        <v>37</v>
      </c>
      <c r="AH48" s="7">
        <v>40</v>
      </c>
    </row>
    <row r="49" ht="25" customHeight="1" spans="1:34">
      <c r="A49" s="7" t="s">
        <v>222</v>
      </c>
      <c r="B49" s="7" t="s">
        <v>223</v>
      </c>
      <c r="C49" s="9">
        <v>0</v>
      </c>
      <c r="D49" s="9">
        <v>0</v>
      </c>
      <c r="E49" s="27">
        <f t="shared" si="0"/>
        <v>0</v>
      </c>
      <c r="F49" s="7">
        <v>0</v>
      </c>
      <c r="G49" s="7">
        <v>0</v>
      </c>
      <c r="H49" s="26">
        <f t="shared" si="16"/>
        <v>0</v>
      </c>
      <c r="I49" s="26">
        <v>1</v>
      </c>
      <c r="J49" s="26">
        <f t="shared" si="2"/>
        <v>0</v>
      </c>
      <c r="K49" s="26">
        <f t="shared" si="3"/>
        <v>0</v>
      </c>
      <c r="M49" s="17">
        <v>24.37</v>
      </c>
      <c r="N49" s="17">
        <v>10</v>
      </c>
      <c r="O49" s="34">
        <f t="shared" si="21"/>
        <v>34.37</v>
      </c>
      <c r="Q49" s="35">
        <f t="shared" si="17"/>
        <v>0</v>
      </c>
      <c r="R49" s="35">
        <f t="shared" si="18"/>
        <v>0</v>
      </c>
      <c r="T49" s="7">
        <v>16</v>
      </c>
      <c r="U49" s="38">
        <f t="shared" si="19"/>
        <v>32</v>
      </c>
      <c r="V49" s="37"/>
      <c r="W49" s="37"/>
      <c r="X49" s="38">
        <f t="shared" si="20"/>
        <v>0</v>
      </c>
      <c r="Y49" s="37"/>
      <c r="Z49" s="37"/>
      <c r="AD49" s="7" t="s">
        <v>224</v>
      </c>
      <c r="AE49" s="7" t="s">
        <v>225</v>
      </c>
      <c r="AF49" s="7">
        <v>60</v>
      </c>
      <c r="AG49" s="7">
        <v>40</v>
      </c>
      <c r="AH49" s="7">
        <v>45</v>
      </c>
    </row>
    <row r="50" ht="25" customHeight="1" spans="1:34">
      <c r="A50" s="7" t="s">
        <v>226</v>
      </c>
      <c r="B50" s="7" t="s">
        <v>227</v>
      </c>
      <c r="C50" s="9">
        <v>0</v>
      </c>
      <c r="D50" s="9">
        <v>0</v>
      </c>
      <c r="E50" s="27">
        <f t="shared" si="0"/>
        <v>0</v>
      </c>
      <c r="F50" s="7">
        <v>0</v>
      </c>
      <c r="G50" s="7">
        <v>0</v>
      </c>
      <c r="H50" s="26">
        <f t="shared" si="16"/>
        <v>0</v>
      </c>
      <c r="I50" s="26">
        <v>1</v>
      </c>
      <c r="J50" s="26">
        <f t="shared" si="2"/>
        <v>0</v>
      </c>
      <c r="K50" s="26">
        <f t="shared" si="3"/>
        <v>0</v>
      </c>
      <c r="M50" s="17">
        <v>24.37</v>
      </c>
      <c r="N50" s="17">
        <v>10</v>
      </c>
      <c r="O50" s="34">
        <f t="shared" si="21"/>
        <v>34.37</v>
      </c>
      <c r="Q50" s="35">
        <f t="shared" si="17"/>
        <v>0</v>
      </c>
      <c r="R50" s="35">
        <f t="shared" si="18"/>
        <v>0</v>
      </c>
      <c r="T50" s="7">
        <v>16</v>
      </c>
      <c r="U50" s="38">
        <f t="shared" si="19"/>
        <v>32</v>
      </c>
      <c r="V50" s="37"/>
      <c r="W50" s="37"/>
      <c r="X50" s="38">
        <f t="shared" si="20"/>
        <v>0</v>
      </c>
      <c r="Y50" s="37"/>
      <c r="Z50" s="37"/>
      <c r="AD50" s="7" t="s">
        <v>228</v>
      </c>
      <c r="AE50" s="7" t="s">
        <v>229</v>
      </c>
      <c r="AF50" s="7">
        <v>60</v>
      </c>
      <c r="AG50" s="7">
        <v>40</v>
      </c>
      <c r="AH50" s="7">
        <v>45</v>
      </c>
    </row>
    <row r="51" ht="25" customHeight="1" spans="1:34">
      <c r="A51" s="7" t="s">
        <v>230</v>
      </c>
      <c r="B51" s="7" t="s">
        <v>231</v>
      </c>
      <c r="C51" s="9">
        <v>0</v>
      </c>
      <c r="D51" s="9">
        <v>0</v>
      </c>
      <c r="E51" s="27">
        <f t="shared" si="0"/>
        <v>0</v>
      </c>
      <c r="F51" s="7">
        <v>0</v>
      </c>
      <c r="G51" s="7">
        <v>0</v>
      </c>
      <c r="H51" s="26">
        <f t="shared" si="16"/>
        <v>0</v>
      </c>
      <c r="I51" s="26">
        <v>1</v>
      </c>
      <c r="J51" s="26">
        <f t="shared" si="2"/>
        <v>0</v>
      </c>
      <c r="K51" s="26">
        <f t="shared" si="3"/>
        <v>0</v>
      </c>
      <c r="M51" s="7">
        <v>13.3</v>
      </c>
      <c r="N51" s="7">
        <v>5</v>
      </c>
      <c r="O51" s="34">
        <f t="shared" si="21"/>
        <v>18.3</v>
      </c>
      <c r="Q51" s="35">
        <f t="shared" si="17"/>
        <v>0</v>
      </c>
      <c r="R51" s="35">
        <f t="shared" si="18"/>
        <v>0</v>
      </c>
      <c r="T51" s="7">
        <v>32</v>
      </c>
      <c r="U51" s="38">
        <f t="shared" si="19"/>
        <v>32</v>
      </c>
      <c r="V51" s="37"/>
      <c r="W51" s="37"/>
      <c r="X51" s="38">
        <f t="shared" si="20"/>
        <v>0</v>
      </c>
      <c r="Y51" s="37"/>
      <c r="Z51" s="37"/>
      <c r="AD51" s="7" t="s">
        <v>232</v>
      </c>
      <c r="AE51" s="7" t="s">
        <v>233</v>
      </c>
      <c r="AF51" s="7">
        <v>30</v>
      </c>
      <c r="AG51" s="7">
        <v>40</v>
      </c>
      <c r="AH51" s="7">
        <v>45</v>
      </c>
    </row>
    <row r="52" ht="25" customHeight="1" spans="1:34">
      <c r="A52" s="14" t="s">
        <v>234</v>
      </c>
      <c r="B52" s="7" t="s">
        <v>173</v>
      </c>
      <c r="C52" s="9">
        <v>0</v>
      </c>
      <c r="D52" s="9">
        <v>0</v>
      </c>
      <c r="E52" s="30">
        <f t="shared" si="0"/>
        <v>0</v>
      </c>
      <c r="F52" s="7">
        <v>0.5</v>
      </c>
      <c r="G52" s="7">
        <v>0.5</v>
      </c>
      <c r="H52" s="26">
        <v>1</v>
      </c>
      <c r="I52" s="26">
        <f t="shared" ref="I52:I60" si="22">MAX(F52,G52)*1.375</f>
        <v>0.6875</v>
      </c>
      <c r="J52" s="26">
        <f t="shared" si="2"/>
        <v>0</v>
      </c>
      <c r="K52" s="26">
        <f t="shared" si="3"/>
        <v>0</v>
      </c>
      <c r="L52" s="17"/>
      <c r="M52" s="17">
        <v>24.37</v>
      </c>
      <c r="N52" s="17">
        <v>10</v>
      </c>
      <c r="O52" s="34">
        <f t="shared" si="21"/>
        <v>34.37</v>
      </c>
      <c r="Q52" s="35">
        <f t="shared" si="17"/>
        <v>0</v>
      </c>
      <c r="R52" s="35">
        <f t="shared" si="18"/>
        <v>0</v>
      </c>
      <c r="T52" s="7">
        <v>16</v>
      </c>
      <c r="U52" s="38">
        <f t="shared" si="19"/>
        <v>32</v>
      </c>
      <c r="V52" s="37"/>
      <c r="W52" s="37"/>
      <c r="X52" s="38">
        <f t="shared" si="20"/>
        <v>0</v>
      </c>
      <c r="Y52" s="37"/>
      <c r="Z52" s="37"/>
      <c r="AD52" s="1" t="s">
        <v>235</v>
      </c>
      <c r="AE52" s="1" t="s">
        <v>236</v>
      </c>
      <c r="AF52" s="7">
        <v>30</v>
      </c>
      <c r="AG52" s="7">
        <v>40</v>
      </c>
      <c r="AH52" s="7">
        <v>45</v>
      </c>
    </row>
    <row r="53" ht="25" customHeight="1" spans="1:34">
      <c r="A53" s="14" t="s">
        <v>237</v>
      </c>
      <c r="B53" s="1" t="s">
        <v>238</v>
      </c>
      <c r="C53" s="9">
        <v>0</v>
      </c>
      <c r="D53" s="9">
        <v>0</v>
      </c>
      <c r="E53" s="30">
        <f t="shared" si="0"/>
        <v>0</v>
      </c>
      <c r="F53" s="7">
        <v>0.5</v>
      </c>
      <c r="G53" s="7">
        <v>0.5</v>
      </c>
      <c r="H53" s="26">
        <v>1</v>
      </c>
      <c r="I53" s="26">
        <f t="shared" si="22"/>
        <v>0.6875</v>
      </c>
      <c r="J53" s="26">
        <f t="shared" si="2"/>
        <v>0</v>
      </c>
      <c r="K53" s="26">
        <f t="shared" si="3"/>
        <v>0</v>
      </c>
      <c r="L53" s="17"/>
      <c r="M53" s="17">
        <v>24.37</v>
      </c>
      <c r="N53" s="17">
        <v>10</v>
      </c>
      <c r="O53" s="34">
        <f t="shared" si="21"/>
        <v>34.37</v>
      </c>
      <c r="Q53" s="35">
        <f t="shared" si="17"/>
        <v>0</v>
      </c>
      <c r="R53" s="35">
        <f t="shared" si="18"/>
        <v>0</v>
      </c>
      <c r="T53" s="7">
        <v>16</v>
      </c>
      <c r="U53" s="38">
        <f t="shared" si="19"/>
        <v>32</v>
      </c>
      <c r="V53" s="37"/>
      <c r="W53" s="37"/>
      <c r="X53" s="38">
        <f t="shared" si="20"/>
        <v>0</v>
      </c>
      <c r="Y53" s="37"/>
      <c r="Z53" s="37"/>
      <c r="AD53" s="1" t="s">
        <v>239</v>
      </c>
      <c r="AE53" s="1" t="s">
        <v>240</v>
      </c>
      <c r="AF53" s="7">
        <v>30</v>
      </c>
      <c r="AG53" s="7">
        <v>40</v>
      </c>
      <c r="AH53" s="7">
        <v>45</v>
      </c>
    </row>
    <row r="54" ht="25" customHeight="1" spans="1:34">
      <c r="A54" s="18" t="s">
        <v>241</v>
      </c>
      <c r="B54" s="17" t="s">
        <v>223</v>
      </c>
      <c r="C54" s="9">
        <v>0</v>
      </c>
      <c r="D54" s="9">
        <v>0</v>
      </c>
      <c r="E54" s="27">
        <f t="shared" si="0"/>
        <v>0</v>
      </c>
      <c r="F54" s="28">
        <v>0</v>
      </c>
      <c r="G54" s="29">
        <v>0</v>
      </c>
      <c r="H54" s="26">
        <v>0</v>
      </c>
      <c r="I54" s="26">
        <v>1</v>
      </c>
      <c r="J54" s="26">
        <f t="shared" si="2"/>
        <v>0</v>
      </c>
      <c r="K54" s="26">
        <f t="shared" si="3"/>
        <v>0</v>
      </c>
      <c r="L54" s="17"/>
      <c r="M54" s="17">
        <v>24.37</v>
      </c>
      <c r="N54" s="17">
        <v>10</v>
      </c>
      <c r="O54" s="34">
        <f t="shared" si="21"/>
        <v>34.37</v>
      </c>
      <c r="Q54" s="35">
        <f t="shared" si="17"/>
        <v>0</v>
      </c>
      <c r="R54" s="35">
        <f t="shared" si="18"/>
        <v>0</v>
      </c>
      <c r="T54" s="7">
        <v>16</v>
      </c>
      <c r="U54" s="38">
        <f t="shared" si="19"/>
        <v>32</v>
      </c>
      <c r="V54" s="37"/>
      <c r="W54" s="37"/>
      <c r="X54" s="38">
        <f t="shared" si="20"/>
        <v>0</v>
      </c>
      <c r="Y54" s="37"/>
      <c r="Z54" s="37"/>
      <c r="AD54" s="1" t="s">
        <v>242</v>
      </c>
      <c r="AE54" s="1" t="s">
        <v>243</v>
      </c>
      <c r="AF54" s="7">
        <v>30</v>
      </c>
      <c r="AG54" s="7">
        <v>40</v>
      </c>
      <c r="AH54" s="7">
        <v>45</v>
      </c>
    </row>
    <row r="55" ht="25" customHeight="1" spans="1:34">
      <c r="A55" s="24" t="s">
        <v>244</v>
      </c>
      <c r="B55" s="11" t="s">
        <v>245</v>
      </c>
      <c r="C55" s="9">
        <v>0</v>
      </c>
      <c r="D55" s="9">
        <v>0</v>
      </c>
      <c r="E55" s="27">
        <f t="shared" si="0"/>
        <v>0</v>
      </c>
      <c r="F55" s="28">
        <v>1</v>
      </c>
      <c r="G55" s="29">
        <v>1</v>
      </c>
      <c r="H55" s="26">
        <v>1</v>
      </c>
      <c r="I55" s="26">
        <f t="shared" si="22"/>
        <v>1.375</v>
      </c>
      <c r="J55" s="26">
        <f t="shared" si="2"/>
        <v>0</v>
      </c>
      <c r="K55" s="26">
        <f t="shared" si="3"/>
        <v>0</v>
      </c>
      <c r="L55" s="17"/>
      <c r="M55" s="17" t="s">
        <v>164</v>
      </c>
      <c r="N55" s="17" t="s">
        <v>165</v>
      </c>
      <c r="O55" s="34">
        <f t="shared" si="21"/>
        <v>19</v>
      </c>
      <c r="Q55" s="35">
        <f t="shared" si="17"/>
        <v>0</v>
      </c>
      <c r="R55" s="35">
        <f t="shared" si="18"/>
        <v>0</v>
      </c>
      <c r="T55" s="7">
        <v>32</v>
      </c>
      <c r="U55" s="38">
        <f t="shared" si="19"/>
        <v>64</v>
      </c>
      <c r="V55" s="37"/>
      <c r="W55" s="37"/>
      <c r="X55" s="38">
        <f t="shared" si="20"/>
        <v>0</v>
      </c>
      <c r="Y55" s="37"/>
      <c r="Z55" s="37"/>
      <c r="AD55" s="7" t="s">
        <v>246</v>
      </c>
      <c r="AE55" s="7" t="s">
        <v>247</v>
      </c>
      <c r="AF55" s="7">
        <v>30</v>
      </c>
      <c r="AG55" s="7">
        <v>40</v>
      </c>
      <c r="AH55" s="7">
        <v>45</v>
      </c>
    </row>
    <row r="56" ht="25" customHeight="1" spans="1:34">
      <c r="A56" s="24" t="s">
        <v>248</v>
      </c>
      <c r="B56" s="11" t="s">
        <v>249</v>
      </c>
      <c r="C56" s="9">
        <v>0</v>
      </c>
      <c r="D56" s="9">
        <v>0</v>
      </c>
      <c r="E56" s="27">
        <f t="shared" si="0"/>
        <v>0</v>
      </c>
      <c r="F56" s="28">
        <v>1</v>
      </c>
      <c r="G56" s="29">
        <v>1</v>
      </c>
      <c r="H56" s="26">
        <v>1</v>
      </c>
      <c r="I56" s="26">
        <f t="shared" si="22"/>
        <v>1.375</v>
      </c>
      <c r="J56" s="26">
        <f t="shared" si="2"/>
        <v>0</v>
      </c>
      <c r="K56" s="26">
        <f t="shared" si="3"/>
        <v>0</v>
      </c>
      <c r="L56" s="17"/>
      <c r="M56" s="17">
        <v>26.57</v>
      </c>
      <c r="N56" s="17">
        <v>10</v>
      </c>
      <c r="O56" s="34">
        <f t="shared" si="21"/>
        <v>36.57</v>
      </c>
      <c r="Q56" s="35">
        <f t="shared" si="17"/>
        <v>0</v>
      </c>
      <c r="R56" s="35">
        <f t="shared" si="18"/>
        <v>0</v>
      </c>
      <c r="T56" s="7">
        <v>32</v>
      </c>
      <c r="U56" s="37"/>
      <c r="V56" s="37"/>
      <c r="W56" s="38">
        <f>CEILING(MAX(0,135-MAX(K56,60))*I56/T56,1)*T56</f>
        <v>128</v>
      </c>
      <c r="X56" s="37"/>
      <c r="Y56" s="37"/>
      <c r="Z56" s="38">
        <f>MIN(CEILING(MAX(0,115-MAX(J56,30))*I56/T56,1)*T56,D56)</f>
        <v>0</v>
      </c>
      <c r="AD56" s="7" t="s">
        <v>250</v>
      </c>
      <c r="AE56" s="7" t="s">
        <v>251</v>
      </c>
      <c r="AF56" s="7">
        <v>60</v>
      </c>
      <c r="AG56" s="7">
        <v>40</v>
      </c>
      <c r="AH56" s="7">
        <v>45</v>
      </c>
    </row>
    <row r="57" ht="25" customHeight="1" spans="1:34">
      <c r="A57" s="24" t="s">
        <v>252</v>
      </c>
      <c r="B57" s="11" t="s">
        <v>253</v>
      </c>
      <c r="C57" s="9">
        <v>0</v>
      </c>
      <c r="D57" s="9">
        <v>0</v>
      </c>
      <c r="E57" s="27">
        <f t="shared" si="0"/>
        <v>0</v>
      </c>
      <c r="F57" s="28">
        <v>1</v>
      </c>
      <c r="G57" s="29">
        <v>1</v>
      </c>
      <c r="H57" s="26">
        <v>1</v>
      </c>
      <c r="I57" s="26">
        <f t="shared" si="22"/>
        <v>1.375</v>
      </c>
      <c r="J57" s="26">
        <f t="shared" si="2"/>
        <v>0</v>
      </c>
      <c r="K57" s="26">
        <f t="shared" si="3"/>
        <v>0</v>
      </c>
      <c r="L57" s="17"/>
      <c r="M57" s="17" t="s">
        <v>164</v>
      </c>
      <c r="N57" s="17" t="s">
        <v>165</v>
      </c>
      <c r="O57" s="34">
        <f t="shared" si="21"/>
        <v>19</v>
      </c>
      <c r="Q57" s="35">
        <f t="shared" si="17"/>
        <v>0</v>
      </c>
      <c r="R57" s="35">
        <f t="shared" si="18"/>
        <v>0</v>
      </c>
      <c r="T57" s="7">
        <v>32</v>
      </c>
      <c r="U57" s="38">
        <f t="shared" ref="U57:U62" si="23">CEILING(MAX(0,90-MAX(K57,60))*I57/T57,1)*T57</f>
        <v>64</v>
      </c>
      <c r="V57" s="37"/>
      <c r="W57" s="37"/>
      <c r="X57" s="38">
        <f t="shared" ref="X57:X62" si="24">MIN(CEILING(MAX(0,70-MAX(J57,30))*I57/T57,1)*T57,D57)</f>
        <v>0</v>
      </c>
      <c r="Y57" s="37"/>
      <c r="Z57" s="37"/>
      <c r="AD57" s="7" t="s">
        <v>254</v>
      </c>
      <c r="AE57" s="7" t="s">
        <v>255</v>
      </c>
      <c r="AF57" s="7">
        <v>30</v>
      </c>
      <c r="AG57" s="7">
        <v>40</v>
      </c>
      <c r="AH57" s="7">
        <v>45</v>
      </c>
    </row>
    <row r="58" ht="25" customHeight="1" spans="1:34">
      <c r="A58" s="24" t="s">
        <v>256</v>
      </c>
      <c r="B58" s="11" t="s">
        <v>257</v>
      </c>
      <c r="C58" s="9">
        <v>0</v>
      </c>
      <c r="D58" s="9">
        <v>0</v>
      </c>
      <c r="E58" s="27">
        <f t="shared" si="0"/>
        <v>0</v>
      </c>
      <c r="F58" s="28">
        <v>1</v>
      </c>
      <c r="G58" s="29">
        <v>1</v>
      </c>
      <c r="H58" s="26">
        <v>1</v>
      </c>
      <c r="I58" s="26">
        <f t="shared" si="22"/>
        <v>1.375</v>
      </c>
      <c r="J58" s="26">
        <f t="shared" si="2"/>
        <v>0</v>
      </c>
      <c r="K58" s="26">
        <f t="shared" si="3"/>
        <v>0</v>
      </c>
      <c r="L58" s="17"/>
      <c r="M58" s="17">
        <v>26.57</v>
      </c>
      <c r="N58" s="17">
        <v>10</v>
      </c>
      <c r="O58" s="34">
        <f t="shared" si="21"/>
        <v>36.57</v>
      </c>
      <c r="Q58" s="35">
        <f t="shared" si="17"/>
        <v>0</v>
      </c>
      <c r="R58" s="35">
        <f t="shared" si="18"/>
        <v>0</v>
      </c>
      <c r="T58" s="7">
        <v>16</v>
      </c>
      <c r="U58" s="38">
        <f t="shared" si="23"/>
        <v>48</v>
      </c>
      <c r="V58" s="37"/>
      <c r="W58" s="37"/>
      <c r="X58" s="38">
        <f t="shared" si="24"/>
        <v>0</v>
      </c>
      <c r="Y58" s="37"/>
      <c r="Z58" s="37"/>
      <c r="AD58" s="7" t="s">
        <v>258</v>
      </c>
      <c r="AE58" s="7" t="s">
        <v>259</v>
      </c>
      <c r="AF58" s="7">
        <v>30</v>
      </c>
      <c r="AG58" s="7">
        <v>40</v>
      </c>
      <c r="AH58" s="7">
        <v>45</v>
      </c>
    </row>
    <row r="59" ht="25" customHeight="1" spans="1:34">
      <c r="A59" s="24" t="s">
        <v>260</v>
      </c>
      <c r="B59" s="11" t="s">
        <v>261</v>
      </c>
      <c r="C59" s="9">
        <v>0</v>
      </c>
      <c r="D59" s="9">
        <v>0</v>
      </c>
      <c r="E59" s="27">
        <f t="shared" si="0"/>
        <v>0</v>
      </c>
      <c r="F59" s="28">
        <v>1</v>
      </c>
      <c r="G59" s="29">
        <v>1</v>
      </c>
      <c r="H59" s="26">
        <v>1</v>
      </c>
      <c r="I59" s="26">
        <f t="shared" si="22"/>
        <v>1.375</v>
      </c>
      <c r="J59" s="26">
        <f t="shared" si="2"/>
        <v>0</v>
      </c>
      <c r="K59" s="26">
        <f t="shared" si="3"/>
        <v>0</v>
      </c>
      <c r="L59" s="17"/>
      <c r="M59" s="17" t="s">
        <v>164</v>
      </c>
      <c r="N59" s="17" t="s">
        <v>165</v>
      </c>
      <c r="O59" s="34">
        <f t="shared" si="21"/>
        <v>19</v>
      </c>
      <c r="Q59" s="35">
        <f t="shared" si="17"/>
        <v>0</v>
      </c>
      <c r="R59" s="35">
        <f t="shared" si="18"/>
        <v>0</v>
      </c>
      <c r="T59" s="7">
        <v>32</v>
      </c>
      <c r="U59" s="38">
        <f t="shared" si="23"/>
        <v>64</v>
      </c>
      <c r="V59" s="37"/>
      <c r="W59" s="37"/>
      <c r="X59" s="38">
        <f t="shared" si="24"/>
        <v>0</v>
      </c>
      <c r="Y59" s="37"/>
      <c r="Z59" s="37"/>
      <c r="AD59" s="7" t="s">
        <v>262</v>
      </c>
      <c r="AE59" s="7" t="s">
        <v>263</v>
      </c>
      <c r="AF59" s="7">
        <v>30</v>
      </c>
      <c r="AG59" s="7">
        <v>40</v>
      </c>
      <c r="AH59" s="7">
        <v>45</v>
      </c>
    </row>
    <row r="60" ht="25" customHeight="1" spans="1:34">
      <c r="A60" s="24" t="s">
        <v>264</v>
      </c>
      <c r="B60" s="11" t="s">
        <v>265</v>
      </c>
      <c r="C60" s="9">
        <v>0</v>
      </c>
      <c r="D60" s="9">
        <v>0</v>
      </c>
      <c r="E60" s="27">
        <f t="shared" si="0"/>
        <v>0</v>
      </c>
      <c r="F60" s="28">
        <v>1</v>
      </c>
      <c r="G60" s="29">
        <v>1</v>
      </c>
      <c r="H60" s="26">
        <v>1</v>
      </c>
      <c r="I60" s="26">
        <f t="shared" si="22"/>
        <v>1.375</v>
      </c>
      <c r="J60" s="26">
        <f t="shared" si="2"/>
        <v>0</v>
      </c>
      <c r="K60" s="26">
        <f t="shared" si="3"/>
        <v>0</v>
      </c>
      <c r="L60" s="17"/>
      <c r="M60" s="17">
        <v>26.57</v>
      </c>
      <c r="N60" s="17">
        <v>10</v>
      </c>
      <c r="O60" s="34">
        <f t="shared" si="21"/>
        <v>36.57</v>
      </c>
      <c r="Q60" s="35">
        <f t="shared" si="17"/>
        <v>0</v>
      </c>
      <c r="R60" s="35">
        <f t="shared" si="18"/>
        <v>0</v>
      </c>
      <c r="T60" s="7">
        <v>16</v>
      </c>
      <c r="U60" s="38">
        <f t="shared" si="23"/>
        <v>48</v>
      </c>
      <c r="V60" s="37"/>
      <c r="W60" s="37"/>
      <c r="X60" s="38">
        <f t="shared" si="24"/>
        <v>0</v>
      </c>
      <c r="Y60" s="37"/>
      <c r="Z60" s="37"/>
      <c r="AD60" s="7" t="s">
        <v>266</v>
      </c>
      <c r="AE60" s="7" t="s">
        <v>267</v>
      </c>
      <c r="AF60" s="7">
        <v>30</v>
      </c>
      <c r="AG60" s="7">
        <v>40</v>
      </c>
      <c r="AH60" s="7">
        <v>45</v>
      </c>
    </row>
    <row r="61" ht="25" customHeight="1" spans="1:34">
      <c r="A61" s="7" t="s">
        <v>268</v>
      </c>
      <c r="B61" s="7" t="s">
        <v>269</v>
      </c>
      <c r="C61" s="9">
        <v>0</v>
      </c>
      <c r="D61" s="9">
        <v>0</v>
      </c>
      <c r="E61" s="27">
        <f t="shared" si="0"/>
        <v>0</v>
      </c>
      <c r="F61" s="7">
        <v>0</v>
      </c>
      <c r="G61" s="7">
        <v>0</v>
      </c>
      <c r="H61" s="26">
        <f>MAX(E61,F61)*1.375</f>
        <v>0</v>
      </c>
      <c r="I61" s="26">
        <v>1</v>
      </c>
      <c r="J61" s="26">
        <f t="shared" si="2"/>
        <v>0</v>
      </c>
      <c r="K61" s="26">
        <f t="shared" si="3"/>
        <v>0</v>
      </c>
      <c r="M61" s="7">
        <v>18</v>
      </c>
      <c r="N61" s="17">
        <v>6</v>
      </c>
      <c r="O61" s="34">
        <f t="shared" si="21"/>
        <v>24</v>
      </c>
      <c r="Q61" s="35">
        <f t="shared" si="17"/>
        <v>0</v>
      </c>
      <c r="R61" s="35">
        <f t="shared" si="18"/>
        <v>0</v>
      </c>
      <c r="T61" s="7">
        <v>20</v>
      </c>
      <c r="U61" s="38">
        <f t="shared" si="23"/>
        <v>40</v>
      </c>
      <c r="V61" s="37"/>
      <c r="W61" s="37"/>
      <c r="X61" s="38">
        <f t="shared" si="24"/>
        <v>0</v>
      </c>
      <c r="Y61" s="37"/>
      <c r="Z61" s="37"/>
      <c r="AD61" s="7" t="s">
        <v>270</v>
      </c>
      <c r="AE61" s="7" t="s">
        <v>271</v>
      </c>
      <c r="AF61" s="7">
        <v>25</v>
      </c>
      <c r="AG61" s="7">
        <v>37</v>
      </c>
      <c r="AH61" s="7">
        <v>40</v>
      </c>
    </row>
    <row r="62" ht="25" customHeight="1" spans="1:34">
      <c r="A62" s="7" t="s">
        <v>272</v>
      </c>
      <c r="B62" s="7" t="s">
        <v>273</v>
      </c>
      <c r="C62" s="9">
        <v>0</v>
      </c>
      <c r="D62" s="9">
        <v>0</v>
      </c>
      <c r="E62" s="27">
        <f t="shared" si="0"/>
        <v>0</v>
      </c>
      <c r="F62" s="7">
        <v>0</v>
      </c>
      <c r="G62" s="7">
        <v>0</v>
      </c>
      <c r="H62" s="26">
        <f>MAX(E62,F62)*1.375</f>
        <v>0</v>
      </c>
      <c r="I62" s="26">
        <v>1</v>
      </c>
      <c r="J62" s="26">
        <f t="shared" si="2"/>
        <v>0</v>
      </c>
      <c r="K62" s="26">
        <f t="shared" si="3"/>
        <v>0</v>
      </c>
      <c r="M62" s="7">
        <v>18</v>
      </c>
      <c r="N62" s="17">
        <v>6</v>
      </c>
      <c r="O62" s="34">
        <f t="shared" si="21"/>
        <v>24</v>
      </c>
      <c r="Q62" s="35">
        <f t="shared" si="17"/>
        <v>0</v>
      </c>
      <c r="R62" s="35">
        <f t="shared" si="18"/>
        <v>0</v>
      </c>
      <c r="T62" s="7">
        <v>20</v>
      </c>
      <c r="U62" s="38">
        <f t="shared" si="23"/>
        <v>40</v>
      </c>
      <c r="V62" s="37"/>
      <c r="W62" s="37"/>
      <c r="X62" s="38">
        <f t="shared" si="24"/>
        <v>0</v>
      </c>
      <c r="Y62" s="37"/>
      <c r="Z62" s="37"/>
      <c r="AD62" s="7" t="s">
        <v>274</v>
      </c>
      <c r="AE62" s="7" t="s">
        <v>275</v>
      </c>
      <c r="AF62" s="7">
        <v>25</v>
      </c>
      <c r="AG62" s="7">
        <v>37</v>
      </c>
      <c r="AH62" s="7">
        <v>40</v>
      </c>
    </row>
    <row r="63" ht="25" customHeight="1"/>
    <row r="64" ht="25" customHeight="1"/>
    <row r="65" ht="25" customHeight="1"/>
    <row r="66" ht="25" customHeight="1"/>
    <row r="67" ht="25" customHeight="1"/>
    <row r="68" ht="25" customHeight="1"/>
    <row r="69" ht="25" customHeight="1"/>
    <row r="70" ht="25" customHeight="1"/>
    <row r="71" ht="25" customHeight="1"/>
  </sheetData>
  <autoFilter ref="A1:AH62">
    <extLst/>
  </autoFilter>
  <conditionalFormatting sqref="J45">
    <cfRule type="cellIs" dxfId="0" priority="108" operator="lessThanOrEqual">
      <formula>70</formula>
    </cfRule>
    <cfRule type="cellIs" dxfId="1" priority="107" operator="lessThanOrEqual">
      <formula>60</formula>
    </cfRule>
    <cfRule type="cellIs" dxfId="2" priority="106" operator="greaterThanOrEqual">
      <formula>105</formula>
    </cfRule>
  </conditionalFormatting>
  <conditionalFormatting sqref="K45">
    <cfRule type="cellIs" dxfId="0" priority="105" operator="lessThanOrEqual">
      <formula>70</formula>
    </cfRule>
    <cfRule type="cellIs" dxfId="1" priority="104" operator="lessThanOrEqual">
      <formula>60</formula>
    </cfRule>
    <cfRule type="cellIs" dxfId="2" priority="103" operator="greaterThanOrEqual">
      <formula>105</formula>
    </cfRule>
  </conditionalFormatting>
  <conditionalFormatting sqref="J46">
    <cfRule type="cellIs" dxfId="0" priority="102" operator="lessThanOrEqual">
      <formula>70</formula>
    </cfRule>
    <cfRule type="cellIs" dxfId="1" priority="101" operator="lessThanOrEqual">
      <formula>60</formula>
    </cfRule>
    <cfRule type="cellIs" dxfId="2" priority="100" operator="greaterThanOrEqual">
      <formula>105</formula>
    </cfRule>
  </conditionalFormatting>
  <conditionalFormatting sqref="K46">
    <cfRule type="cellIs" dxfId="0" priority="99" operator="lessThanOrEqual">
      <formula>70</formula>
    </cfRule>
    <cfRule type="cellIs" dxfId="1" priority="98" operator="lessThanOrEqual">
      <formula>60</formula>
    </cfRule>
    <cfRule type="cellIs" dxfId="2" priority="97" operator="greaterThanOrEqual">
      <formula>105</formula>
    </cfRule>
  </conditionalFormatting>
  <conditionalFormatting sqref="J47">
    <cfRule type="cellIs" dxfId="0" priority="96" operator="lessThanOrEqual">
      <formula>70</formula>
    </cfRule>
    <cfRule type="cellIs" dxfId="1" priority="95" operator="lessThanOrEqual">
      <formula>60</formula>
    </cfRule>
    <cfRule type="cellIs" dxfId="2" priority="94" operator="greaterThanOrEqual">
      <formula>105</formula>
    </cfRule>
  </conditionalFormatting>
  <conditionalFormatting sqref="K47">
    <cfRule type="cellIs" dxfId="0" priority="93" operator="lessThanOrEqual">
      <formula>70</formula>
    </cfRule>
    <cfRule type="cellIs" dxfId="1" priority="92" operator="lessThanOrEqual">
      <formula>60</formula>
    </cfRule>
    <cfRule type="cellIs" dxfId="2" priority="91" operator="greaterThanOrEqual">
      <formula>105</formula>
    </cfRule>
  </conditionalFormatting>
  <conditionalFormatting sqref="J48">
    <cfRule type="cellIs" dxfId="0" priority="90" operator="lessThanOrEqual">
      <formula>70</formula>
    </cfRule>
    <cfRule type="cellIs" dxfId="1" priority="86" operator="lessThanOrEqual">
      <formula>60</formula>
    </cfRule>
    <cfRule type="cellIs" dxfId="2" priority="82" operator="greaterThanOrEqual">
      <formula>105</formula>
    </cfRule>
  </conditionalFormatting>
  <conditionalFormatting sqref="K48">
    <cfRule type="cellIs" dxfId="0" priority="78" operator="lessThanOrEqual">
      <formula>70</formula>
    </cfRule>
    <cfRule type="cellIs" dxfId="1" priority="74" operator="lessThanOrEqual">
      <formula>60</formula>
    </cfRule>
    <cfRule type="cellIs" dxfId="2" priority="70" operator="greaterThanOrEqual">
      <formula>105</formula>
    </cfRule>
  </conditionalFormatting>
  <conditionalFormatting sqref="J49">
    <cfRule type="cellIs" dxfId="0" priority="89" operator="lessThanOrEqual">
      <formula>70</formula>
    </cfRule>
    <cfRule type="cellIs" dxfId="1" priority="85" operator="lessThanOrEqual">
      <formula>60</formula>
    </cfRule>
    <cfRule type="cellIs" dxfId="2" priority="81" operator="greaterThanOrEqual">
      <formula>105</formula>
    </cfRule>
  </conditionalFormatting>
  <conditionalFormatting sqref="K49">
    <cfRule type="cellIs" dxfId="0" priority="77" operator="lessThanOrEqual">
      <formula>70</formula>
    </cfRule>
    <cfRule type="cellIs" dxfId="1" priority="73" operator="lessThanOrEqual">
      <formula>60</formula>
    </cfRule>
    <cfRule type="cellIs" dxfId="2" priority="69" operator="greaterThanOrEqual">
      <formula>105</formula>
    </cfRule>
  </conditionalFormatting>
  <conditionalFormatting sqref="J50">
    <cfRule type="cellIs" dxfId="0" priority="88" operator="lessThanOrEqual">
      <formula>70</formula>
    </cfRule>
    <cfRule type="cellIs" dxfId="1" priority="84" operator="lessThanOrEqual">
      <formula>60</formula>
    </cfRule>
    <cfRule type="cellIs" dxfId="2" priority="80" operator="greaterThanOrEqual">
      <formula>105</formula>
    </cfRule>
  </conditionalFormatting>
  <conditionalFormatting sqref="K50">
    <cfRule type="cellIs" dxfId="0" priority="76" operator="lessThanOrEqual">
      <formula>70</formula>
    </cfRule>
    <cfRule type="cellIs" dxfId="1" priority="72" operator="lessThanOrEqual">
      <formula>60</formula>
    </cfRule>
    <cfRule type="cellIs" dxfId="2" priority="68" operator="greaterThanOrEqual">
      <formula>105</formula>
    </cfRule>
  </conditionalFormatting>
  <conditionalFormatting sqref="J51">
    <cfRule type="cellIs" dxfId="0" priority="87" operator="lessThanOrEqual">
      <formula>70</formula>
    </cfRule>
    <cfRule type="cellIs" dxfId="1" priority="83" operator="lessThanOrEqual">
      <formula>60</formula>
    </cfRule>
    <cfRule type="cellIs" dxfId="2" priority="79" operator="greaterThanOrEqual">
      <formula>105</formula>
    </cfRule>
  </conditionalFormatting>
  <conditionalFormatting sqref="K51">
    <cfRule type="cellIs" dxfId="0" priority="75" operator="lessThanOrEqual">
      <formula>70</formula>
    </cfRule>
    <cfRule type="cellIs" dxfId="1" priority="71" operator="lessThanOrEqual">
      <formula>60</formula>
    </cfRule>
    <cfRule type="cellIs" dxfId="2" priority="67" operator="greaterThanOrEqual">
      <formula>105</formula>
    </cfRule>
  </conditionalFormatting>
  <conditionalFormatting sqref="J52">
    <cfRule type="cellIs" dxfId="0" priority="60" operator="lessThanOrEqual">
      <formula>70</formula>
    </cfRule>
    <cfRule type="cellIs" dxfId="1" priority="59" operator="lessThanOrEqual">
      <formula>60</formula>
    </cfRule>
    <cfRule type="cellIs" dxfId="2" priority="58" operator="greaterThanOrEqual">
      <formula>105</formula>
    </cfRule>
  </conditionalFormatting>
  <conditionalFormatting sqref="K52">
    <cfRule type="cellIs" dxfId="0" priority="57" operator="lessThanOrEqual">
      <formula>70</formula>
    </cfRule>
    <cfRule type="cellIs" dxfId="1" priority="56" operator="lessThanOrEqual">
      <formula>60</formula>
    </cfRule>
    <cfRule type="cellIs" dxfId="2" priority="55" operator="greaterThanOrEqual">
      <formula>105</formula>
    </cfRule>
  </conditionalFormatting>
  <conditionalFormatting sqref="J53">
    <cfRule type="cellIs" dxfId="0" priority="54" operator="lessThanOrEqual">
      <formula>70</formula>
    </cfRule>
    <cfRule type="cellIs" dxfId="1" priority="53" operator="lessThanOrEqual">
      <formula>60</formula>
    </cfRule>
    <cfRule type="cellIs" dxfId="2" priority="52" operator="greaterThanOrEqual">
      <formula>105</formula>
    </cfRule>
  </conditionalFormatting>
  <conditionalFormatting sqref="K53">
    <cfRule type="cellIs" dxfId="0" priority="51" operator="lessThanOrEqual">
      <formula>70</formula>
    </cfRule>
    <cfRule type="cellIs" dxfId="1" priority="50" operator="lessThanOrEqual">
      <formula>60</formula>
    </cfRule>
    <cfRule type="cellIs" dxfId="2" priority="49" operator="greaterThanOrEqual">
      <formula>105</formula>
    </cfRule>
  </conditionalFormatting>
  <conditionalFormatting sqref="J54">
    <cfRule type="cellIs" dxfId="0" priority="66" operator="lessThanOrEqual">
      <formula>70</formula>
    </cfRule>
    <cfRule type="cellIs" dxfId="1" priority="65" operator="lessThanOrEqual">
      <formula>60</formula>
    </cfRule>
    <cfRule type="cellIs" dxfId="2" priority="64" operator="greaterThanOrEqual">
      <formula>105</formula>
    </cfRule>
  </conditionalFormatting>
  <conditionalFormatting sqref="K54">
    <cfRule type="cellIs" dxfId="0" priority="63" operator="lessThanOrEqual">
      <formula>70</formula>
    </cfRule>
    <cfRule type="cellIs" dxfId="1" priority="62" operator="lessThanOrEqual">
      <formula>60</formula>
    </cfRule>
    <cfRule type="cellIs" dxfId="2" priority="61" operator="greaterThanOrEqual">
      <formula>105</formula>
    </cfRule>
  </conditionalFormatting>
  <conditionalFormatting sqref="J55">
    <cfRule type="cellIs" dxfId="0" priority="48" operator="lessThanOrEqual">
      <formula>70</formula>
    </cfRule>
    <cfRule type="cellIs" dxfId="1" priority="47" operator="lessThanOrEqual">
      <formula>60</formula>
    </cfRule>
    <cfRule type="cellIs" dxfId="2" priority="46" operator="greaterThanOrEqual">
      <formula>105</formula>
    </cfRule>
  </conditionalFormatting>
  <conditionalFormatting sqref="K55">
    <cfRule type="cellIs" dxfId="0" priority="45" operator="lessThanOrEqual">
      <formula>70</formula>
    </cfRule>
    <cfRule type="cellIs" dxfId="1" priority="44" operator="lessThanOrEqual">
      <formula>60</formula>
    </cfRule>
    <cfRule type="cellIs" dxfId="2" priority="43" operator="greaterThanOrEqual">
      <formula>105</formula>
    </cfRule>
  </conditionalFormatting>
  <conditionalFormatting sqref="J56">
    <cfRule type="cellIs" dxfId="0" priority="42" operator="lessThanOrEqual">
      <formula>70</formula>
    </cfRule>
    <cfRule type="cellIs" dxfId="1" priority="41" operator="lessThanOrEqual">
      <formula>60</formula>
    </cfRule>
    <cfRule type="cellIs" dxfId="2" priority="40" operator="greaterThanOrEqual">
      <formula>105</formula>
    </cfRule>
  </conditionalFormatting>
  <conditionalFormatting sqref="K56">
    <cfRule type="cellIs" dxfId="0" priority="39" operator="lessThanOrEqual">
      <formula>70</formula>
    </cfRule>
    <cfRule type="cellIs" dxfId="1" priority="38" operator="lessThanOrEqual">
      <formula>60</formula>
    </cfRule>
    <cfRule type="cellIs" dxfId="2" priority="37" operator="greaterThanOrEqual">
      <formula>105</formula>
    </cfRule>
  </conditionalFormatting>
  <conditionalFormatting sqref="J57">
    <cfRule type="cellIs" dxfId="0" priority="36" operator="lessThanOrEqual">
      <formula>70</formula>
    </cfRule>
    <cfRule type="cellIs" dxfId="1" priority="35" operator="lessThanOrEqual">
      <formula>60</formula>
    </cfRule>
    <cfRule type="cellIs" dxfId="2" priority="34" operator="greaterThanOrEqual">
      <formula>105</formula>
    </cfRule>
  </conditionalFormatting>
  <conditionalFormatting sqref="K57">
    <cfRule type="cellIs" dxfId="0" priority="33" operator="lessThanOrEqual">
      <formula>70</formula>
    </cfRule>
    <cfRule type="cellIs" dxfId="1" priority="32" operator="lessThanOrEqual">
      <formula>60</formula>
    </cfRule>
    <cfRule type="cellIs" dxfId="2" priority="31" operator="greaterThanOrEqual">
      <formula>105</formula>
    </cfRule>
  </conditionalFormatting>
  <conditionalFormatting sqref="J58">
    <cfRule type="cellIs" dxfId="0" priority="30" operator="lessThanOrEqual">
      <formula>70</formula>
    </cfRule>
    <cfRule type="cellIs" dxfId="1" priority="29" operator="lessThanOrEqual">
      <formula>60</formula>
    </cfRule>
    <cfRule type="cellIs" dxfId="2" priority="28" operator="greaterThanOrEqual">
      <formula>105</formula>
    </cfRule>
  </conditionalFormatting>
  <conditionalFormatting sqref="K58">
    <cfRule type="cellIs" dxfId="0" priority="27" operator="lessThanOrEqual">
      <formula>70</formula>
    </cfRule>
    <cfRule type="cellIs" dxfId="1" priority="26" operator="lessThanOrEqual">
      <formula>60</formula>
    </cfRule>
    <cfRule type="cellIs" dxfId="2" priority="25" operator="greaterThanOrEqual">
      <formula>105</formula>
    </cfRule>
  </conditionalFormatting>
  <conditionalFormatting sqref="J59">
    <cfRule type="cellIs" dxfId="0" priority="24" operator="lessThanOrEqual">
      <formula>70</formula>
    </cfRule>
    <cfRule type="cellIs" dxfId="1" priority="23" operator="lessThanOrEqual">
      <formula>60</formula>
    </cfRule>
    <cfRule type="cellIs" dxfId="2" priority="22" operator="greaterThanOrEqual">
      <formula>105</formula>
    </cfRule>
  </conditionalFormatting>
  <conditionalFormatting sqref="K59">
    <cfRule type="cellIs" dxfId="0" priority="21" operator="lessThanOrEqual">
      <formula>70</formula>
    </cfRule>
    <cfRule type="cellIs" dxfId="1" priority="20" operator="lessThanOrEqual">
      <formula>60</formula>
    </cfRule>
    <cfRule type="cellIs" dxfId="2" priority="19" operator="greaterThanOrEqual">
      <formula>105</formula>
    </cfRule>
  </conditionalFormatting>
  <conditionalFormatting sqref="J60">
    <cfRule type="cellIs" dxfId="0" priority="18" operator="lessThanOrEqual">
      <formula>70</formula>
    </cfRule>
    <cfRule type="cellIs" dxfId="1" priority="17" operator="lessThanOrEqual">
      <formula>60</formula>
    </cfRule>
    <cfRule type="cellIs" dxfId="2" priority="16" operator="greaterThanOrEqual">
      <formula>105</formula>
    </cfRule>
  </conditionalFormatting>
  <conditionalFormatting sqref="K60">
    <cfRule type="cellIs" dxfId="0" priority="15" operator="lessThanOrEqual">
      <formula>70</formula>
    </cfRule>
    <cfRule type="cellIs" dxfId="1" priority="14" operator="lessThanOrEqual">
      <formula>60</formula>
    </cfRule>
    <cfRule type="cellIs" dxfId="2" priority="13" operator="greaterThanOrEqual">
      <formula>105</formula>
    </cfRule>
  </conditionalFormatting>
  <conditionalFormatting sqref="J61">
    <cfRule type="cellIs" dxfId="0" priority="12" operator="lessThanOrEqual">
      <formula>70</formula>
    </cfRule>
    <cfRule type="cellIs" dxfId="1" priority="11" operator="lessThanOrEqual">
      <formula>60</formula>
    </cfRule>
    <cfRule type="cellIs" dxfId="2" priority="10" operator="greaterThanOrEqual">
      <formula>105</formula>
    </cfRule>
  </conditionalFormatting>
  <conditionalFormatting sqref="K61">
    <cfRule type="cellIs" dxfId="0" priority="9" operator="lessThanOrEqual">
      <formula>70</formula>
    </cfRule>
    <cfRule type="cellIs" dxfId="1" priority="8" operator="lessThanOrEqual">
      <formula>60</formula>
    </cfRule>
    <cfRule type="cellIs" dxfId="2" priority="7" operator="greaterThanOrEqual">
      <formula>105</formula>
    </cfRule>
  </conditionalFormatting>
  <conditionalFormatting sqref="J62">
    <cfRule type="cellIs" dxfId="0" priority="6" operator="lessThanOrEqual">
      <formula>70</formula>
    </cfRule>
    <cfRule type="cellIs" dxfId="1" priority="5" operator="lessThanOrEqual">
      <formula>60</formula>
    </cfRule>
    <cfRule type="cellIs" dxfId="2" priority="4" operator="greaterThanOrEqual">
      <formula>105</formula>
    </cfRule>
  </conditionalFormatting>
  <conditionalFormatting sqref="K62">
    <cfRule type="cellIs" dxfId="0" priority="3" operator="lessThanOrEqual">
      <formula>70</formula>
    </cfRule>
    <cfRule type="cellIs" dxfId="1" priority="2" operator="lessThanOrEqual">
      <formula>60</formula>
    </cfRule>
    <cfRule type="cellIs" dxfId="2" priority="1" operator="greaterThanOrEqual">
      <formula>105</formula>
    </cfRule>
  </conditionalFormatting>
  <conditionalFormatting sqref="J2:J29">
    <cfRule type="cellIs" dxfId="2" priority="121" operator="greaterThanOrEqual">
      <formula>105</formula>
    </cfRule>
    <cfRule type="cellIs" dxfId="1" priority="122" operator="lessThanOrEqual">
      <formula>60</formula>
    </cfRule>
    <cfRule type="cellIs" dxfId="0" priority="123" operator="lessThanOrEqual">
      <formula>70</formula>
    </cfRule>
  </conditionalFormatting>
  <conditionalFormatting sqref="J30:J44">
    <cfRule type="cellIs" dxfId="2" priority="115" operator="greaterThanOrEqual">
      <formula>105</formula>
    </cfRule>
    <cfRule type="cellIs" dxfId="1" priority="116" operator="lessThanOrEqual">
      <formula>60</formula>
    </cfRule>
    <cfRule type="cellIs" dxfId="0" priority="117" operator="lessThanOrEqual">
      <formula>70</formula>
    </cfRule>
  </conditionalFormatting>
  <conditionalFormatting sqref="K2:K29">
    <cfRule type="cellIs" dxfId="2" priority="112" operator="greaterThanOrEqual">
      <formula>105</formula>
    </cfRule>
    <cfRule type="cellIs" dxfId="1" priority="113" operator="lessThanOrEqual">
      <formula>60</formula>
    </cfRule>
    <cfRule type="cellIs" dxfId="0" priority="114" operator="lessThanOrEqual">
      <formula>70</formula>
    </cfRule>
  </conditionalFormatting>
  <conditionalFormatting sqref="K30:K44">
    <cfRule type="cellIs" dxfId="2" priority="109" operator="greaterThanOrEqual">
      <formula>105</formula>
    </cfRule>
    <cfRule type="cellIs" dxfId="1" priority="110" operator="lessThanOrEqual">
      <formula>60</formula>
    </cfRule>
    <cfRule type="cellIs" dxfId="0" priority="111" operator="lessThanOrEqual">
      <formula>70</formula>
    </cfRule>
  </conditionalFormatting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产品库存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帮主</cp:lastModifiedBy>
  <dcterms:created xsi:type="dcterms:W3CDTF">2022-10-16T19:29:00Z</dcterms:created>
  <dcterms:modified xsi:type="dcterms:W3CDTF">2026-04-14T12:13:31Z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A3C87013561D4568A847CF9E6D4EBAB6_13</vt:lpwstr>
  </property>
  <property fmtid="{D5CDD505-2E9C-101B-9397-08002B2CF9AE}" pid="3" name="KSOProductBuildVer">
    <vt:lpwstr>2052-6.5.2.8766</vt:lpwstr>
  </property>
</Properties>
</file>